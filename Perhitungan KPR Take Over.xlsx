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B3D23D1-941D-4266-8A1F-2F212ABFC9A9}" xr6:coauthVersionLast="36" xr6:coauthVersionMax="36" xr10:uidLastSave="{00000000-0000-0000-0000-000000000000}"/>
  <bookViews>
    <workbookView xWindow="0" yWindow="0" windowWidth="28800" windowHeight="12105" activeTab="1" xr2:uid="{F30E31AE-425C-4E31-AA8A-4D743E645940}"/>
  </bookViews>
  <sheets>
    <sheet name="Simulasi Tanpa Take Over" sheetId="1" r:id="rId1"/>
    <sheet name="Simulasi Take Over" sheetId="4" r:id="rId2"/>
    <sheet name="KPR 1" sheetId="2" r:id="rId3"/>
    <sheet name="KPR 2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4" l="1"/>
  <c r="C48" i="4"/>
  <c r="B49" i="4"/>
  <c r="B48" i="4"/>
  <c r="B44" i="4"/>
  <c r="B41" i="4"/>
  <c r="B40" i="4"/>
  <c r="B39" i="4"/>
  <c r="B38" i="4"/>
  <c r="B35" i="4"/>
  <c r="B34" i="4"/>
  <c r="B33" i="4"/>
  <c r="B32" i="4"/>
  <c r="C29" i="4"/>
  <c r="C28" i="4"/>
  <c r="C27" i="4"/>
  <c r="C26" i="4"/>
  <c r="B12" i="3"/>
  <c r="B13" i="3" s="1"/>
  <c r="C11" i="3"/>
  <c r="B10" i="3"/>
  <c r="B11" i="3" s="1"/>
  <c r="E9" i="3"/>
  <c r="D9" i="3"/>
  <c r="B14" i="4"/>
  <c r="B10" i="4"/>
  <c r="B9" i="4"/>
  <c r="B11" i="4" s="1"/>
  <c r="B14" i="1"/>
  <c r="B13" i="1"/>
  <c r="B12" i="1"/>
  <c r="B11" i="1"/>
  <c r="B10" i="1"/>
  <c r="B7" i="2"/>
  <c r="C9" i="2"/>
  <c r="F9" i="2"/>
  <c r="B6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E10" i="2" s="1"/>
  <c r="D10" i="2" s="1"/>
  <c r="F10" i="2"/>
  <c r="E9" i="2"/>
  <c r="D9" i="2"/>
  <c r="B176" i="2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0" i="2"/>
  <c r="B14" i="3" l="1"/>
  <c r="C13" i="3"/>
  <c r="C12" i="3"/>
  <c r="F10" i="3"/>
  <c r="C10" i="3"/>
  <c r="F11" i="2"/>
  <c r="E11" i="2" s="1"/>
  <c r="D11" i="2" s="1"/>
  <c r="E10" i="3" l="1"/>
  <c r="D10" i="3" s="1"/>
  <c r="F11" i="3" s="1"/>
  <c r="E11" i="3" s="1"/>
  <c r="B21" i="4"/>
  <c r="D11" i="3"/>
  <c r="B15" i="3"/>
  <c r="C14" i="3"/>
  <c r="F12" i="2"/>
  <c r="E12" i="2" s="1"/>
  <c r="D12" i="2" s="1"/>
  <c r="F13" i="2" s="1"/>
  <c r="E13" i="2" s="1"/>
  <c r="D13" i="2" s="1"/>
  <c r="B16" i="3" l="1"/>
  <c r="C15" i="3"/>
  <c r="F12" i="3"/>
  <c r="F14" i="2"/>
  <c r="E14" i="2" s="1"/>
  <c r="D14" i="2" s="1"/>
  <c r="E12" i="3" l="1"/>
  <c r="D12" i="3" s="1"/>
  <c r="C16" i="3"/>
  <c r="B17" i="3"/>
  <c r="F15" i="2"/>
  <c r="E15" i="2" s="1"/>
  <c r="D15" i="2"/>
  <c r="F13" i="3" l="1"/>
  <c r="B18" i="3"/>
  <c r="C17" i="3"/>
  <c r="F16" i="2"/>
  <c r="E16" i="2" s="1"/>
  <c r="D16" i="2" s="1"/>
  <c r="B19" i="3" l="1"/>
  <c r="C18" i="3"/>
  <c r="E13" i="3"/>
  <c r="D13" i="3" s="1"/>
  <c r="F17" i="2"/>
  <c r="E17" i="2" s="1"/>
  <c r="D17" i="2" s="1"/>
  <c r="F14" i="3" l="1"/>
  <c r="C19" i="3"/>
  <c r="B20" i="3"/>
  <c r="F18" i="2"/>
  <c r="E18" i="2" s="1"/>
  <c r="D18" i="2" s="1"/>
  <c r="E14" i="3" l="1"/>
  <c r="D14" i="3" s="1"/>
  <c r="B21" i="3"/>
  <c r="C20" i="3"/>
  <c r="F19" i="2"/>
  <c r="E19" i="2" s="1"/>
  <c r="D19" i="2"/>
  <c r="B22" i="3" l="1"/>
  <c r="C21" i="3"/>
  <c r="F15" i="3"/>
  <c r="F20" i="2"/>
  <c r="E20" i="2" s="1"/>
  <c r="D20" i="2" s="1"/>
  <c r="E15" i="3" l="1"/>
  <c r="D15" i="3" s="1"/>
  <c r="B23" i="3"/>
  <c r="C22" i="3"/>
  <c r="F21" i="2"/>
  <c r="E21" i="2" s="1"/>
  <c r="D21" i="2" s="1"/>
  <c r="B24" i="3" l="1"/>
  <c r="C23" i="3"/>
  <c r="F16" i="3"/>
  <c r="E16" i="3" s="1"/>
  <c r="D16" i="3" s="1"/>
  <c r="F22" i="2"/>
  <c r="E22" i="2" s="1"/>
  <c r="D22" i="2" s="1"/>
  <c r="F17" i="3" l="1"/>
  <c r="E17" i="3" s="1"/>
  <c r="D17" i="3" s="1"/>
  <c r="C24" i="3"/>
  <c r="B25" i="3"/>
  <c r="F23" i="2"/>
  <c r="E23" i="2" s="1"/>
  <c r="D23" i="2" s="1"/>
  <c r="B26" i="3" l="1"/>
  <c r="C25" i="3"/>
  <c r="F18" i="3"/>
  <c r="E18" i="3" s="1"/>
  <c r="D18" i="3" s="1"/>
  <c r="F24" i="2"/>
  <c r="E24" i="2" s="1"/>
  <c r="D24" i="2" s="1"/>
  <c r="F19" i="3" l="1"/>
  <c r="E19" i="3" s="1"/>
  <c r="D19" i="3" s="1"/>
  <c r="B27" i="3"/>
  <c r="C26" i="3"/>
  <c r="F25" i="2"/>
  <c r="E25" i="2" s="1"/>
  <c r="D25" i="2" s="1"/>
  <c r="F20" i="3" l="1"/>
  <c r="E20" i="3" s="1"/>
  <c r="D20" i="3" s="1"/>
  <c r="C27" i="3"/>
  <c r="B28" i="3"/>
  <c r="F26" i="2"/>
  <c r="E26" i="2" s="1"/>
  <c r="D26" i="2" s="1"/>
  <c r="F21" i="3" l="1"/>
  <c r="E21" i="3" s="1"/>
  <c r="D21" i="3" s="1"/>
  <c r="B29" i="3"/>
  <c r="C28" i="3"/>
  <c r="F27" i="2"/>
  <c r="E27" i="2" s="1"/>
  <c r="D27" i="2" s="1"/>
  <c r="F22" i="3" l="1"/>
  <c r="E22" i="3" s="1"/>
  <c r="D22" i="3" s="1"/>
  <c r="B30" i="3"/>
  <c r="C29" i="3"/>
  <c r="F28" i="2"/>
  <c r="E28" i="2" s="1"/>
  <c r="D28" i="2" s="1"/>
  <c r="B31" i="3" l="1"/>
  <c r="C30" i="3"/>
  <c r="F23" i="3"/>
  <c r="E23" i="3" s="1"/>
  <c r="D23" i="3" s="1"/>
  <c r="F29" i="2"/>
  <c r="E29" i="2" s="1"/>
  <c r="D29" i="2" s="1"/>
  <c r="F24" i="3" l="1"/>
  <c r="E24" i="3" s="1"/>
  <c r="D24" i="3" s="1"/>
  <c r="B32" i="3"/>
  <c r="C31" i="3"/>
  <c r="F30" i="2"/>
  <c r="E30" i="2" s="1"/>
  <c r="D30" i="2" s="1"/>
  <c r="F25" i="3" l="1"/>
  <c r="E25" i="3" s="1"/>
  <c r="D25" i="3" s="1"/>
  <c r="C32" i="3"/>
  <c r="B33" i="3"/>
  <c r="F31" i="2"/>
  <c r="E31" i="2" s="1"/>
  <c r="D31" i="2" s="1"/>
  <c r="F26" i="3" l="1"/>
  <c r="E26" i="3" s="1"/>
  <c r="D26" i="3" s="1"/>
  <c r="B34" i="3"/>
  <c r="C33" i="3"/>
  <c r="F32" i="2"/>
  <c r="E32" i="2" s="1"/>
  <c r="D32" i="2" s="1"/>
  <c r="F27" i="3" l="1"/>
  <c r="E27" i="3" s="1"/>
  <c r="D27" i="3" s="1"/>
  <c r="B35" i="3"/>
  <c r="C34" i="3"/>
  <c r="F33" i="2"/>
  <c r="E33" i="2" s="1"/>
  <c r="D33" i="2" s="1"/>
  <c r="F28" i="3" l="1"/>
  <c r="E28" i="3" s="1"/>
  <c r="D28" i="3" s="1"/>
  <c r="C35" i="3"/>
  <c r="B36" i="3"/>
  <c r="F34" i="2"/>
  <c r="E34" i="2" s="1"/>
  <c r="D34" i="2" s="1"/>
  <c r="F29" i="3" l="1"/>
  <c r="E29" i="3" s="1"/>
  <c r="D29" i="3" s="1"/>
  <c r="B37" i="3"/>
  <c r="C36" i="3"/>
  <c r="F35" i="2"/>
  <c r="E35" i="2" s="1"/>
  <c r="D35" i="2" s="1"/>
  <c r="F30" i="3" l="1"/>
  <c r="E30" i="3" s="1"/>
  <c r="D30" i="3" s="1"/>
  <c r="B38" i="3"/>
  <c r="C37" i="3"/>
  <c r="F36" i="2"/>
  <c r="E36" i="2" s="1"/>
  <c r="D36" i="2" s="1"/>
  <c r="F31" i="3" l="1"/>
  <c r="E31" i="3" s="1"/>
  <c r="D31" i="3" s="1"/>
  <c r="B39" i="3"/>
  <c r="C38" i="3"/>
  <c r="F37" i="2"/>
  <c r="E37" i="2" s="1"/>
  <c r="D37" i="2" s="1"/>
  <c r="F32" i="3" l="1"/>
  <c r="E32" i="3" s="1"/>
  <c r="D32" i="3" s="1"/>
  <c r="B40" i="3"/>
  <c r="C39" i="3"/>
  <c r="F38" i="2"/>
  <c r="E38" i="2" s="1"/>
  <c r="D38" i="2" s="1"/>
  <c r="F33" i="3" l="1"/>
  <c r="E33" i="3" s="1"/>
  <c r="D33" i="3" s="1"/>
  <c r="C40" i="3"/>
  <c r="B41" i="3"/>
  <c r="F39" i="2"/>
  <c r="E39" i="2" s="1"/>
  <c r="D39" i="2"/>
  <c r="B42" i="3" l="1"/>
  <c r="C41" i="3"/>
  <c r="F34" i="3"/>
  <c r="E34" i="3" s="1"/>
  <c r="D34" i="3" s="1"/>
  <c r="F40" i="2"/>
  <c r="E40" i="2" s="1"/>
  <c r="D40" i="2" s="1"/>
  <c r="F35" i="3" l="1"/>
  <c r="E35" i="3" s="1"/>
  <c r="D35" i="3" s="1"/>
  <c r="B43" i="3"/>
  <c r="C42" i="3"/>
  <c r="F41" i="2"/>
  <c r="E41" i="2" s="1"/>
  <c r="D41" i="2" s="1"/>
  <c r="F36" i="3" l="1"/>
  <c r="E36" i="3" s="1"/>
  <c r="D36" i="3" s="1"/>
  <c r="C43" i="3"/>
  <c r="B44" i="3"/>
  <c r="F42" i="2"/>
  <c r="E42" i="2" s="1"/>
  <c r="D42" i="2" s="1"/>
  <c r="F37" i="3" l="1"/>
  <c r="E37" i="3" s="1"/>
  <c r="D37" i="3" s="1"/>
  <c r="B45" i="3"/>
  <c r="C44" i="3"/>
  <c r="F43" i="2"/>
  <c r="E43" i="2" s="1"/>
  <c r="D43" i="2" s="1"/>
  <c r="F38" i="3" l="1"/>
  <c r="E38" i="3" s="1"/>
  <c r="D38" i="3" s="1"/>
  <c r="B46" i="3"/>
  <c r="C45" i="3"/>
  <c r="F44" i="2"/>
  <c r="E44" i="2" s="1"/>
  <c r="D44" i="2" s="1"/>
  <c r="F39" i="3" l="1"/>
  <c r="E39" i="3" s="1"/>
  <c r="D39" i="3" s="1"/>
  <c r="B47" i="3"/>
  <c r="C46" i="3"/>
  <c r="F45" i="2"/>
  <c r="E45" i="2" s="1"/>
  <c r="D45" i="2" s="1"/>
  <c r="F40" i="3" l="1"/>
  <c r="E40" i="3" s="1"/>
  <c r="D40" i="3" s="1"/>
  <c r="B48" i="3"/>
  <c r="C47" i="3"/>
  <c r="F46" i="2"/>
  <c r="E46" i="2" s="1"/>
  <c r="D46" i="2"/>
  <c r="F41" i="3" l="1"/>
  <c r="E41" i="3" s="1"/>
  <c r="D41" i="3" s="1"/>
  <c r="C48" i="3"/>
  <c r="B49" i="3"/>
  <c r="F47" i="2"/>
  <c r="E47" i="2" s="1"/>
  <c r="D47" i="2"/>
  <c r="F42" i="3" l="1"/>
  <c r="E42" i="3" s="1"/>
  <c r="D42" i="3" s="1"/>
  <c r="B50" i="3"/>
  <c r="C49" i="3"/>
  <c r="F48" i="2"/>
  <c r="E48" i="2" s="1"/>
  <c r="D48" i="2"/>
  <c r="F43" i="3" l="1"/>
  <c r="E43" i="3" s="1"/>
  <c r="D43" i="3" s="1"/>
  <c r="B51" i="3"/>
  <c r="C50" i="3"/>
  <c r="F49" i="2"/>
  <c r="E49" i="2" s="1"/>
  <c r="D49" i="2" s="1"/>
  <c r="F44" i="3" l="1"/>
  <c r="E44" i="3" s="1"/>
  <c r="D44" i="3" s="1"/>
  <c r="C51" i="3"/>
  <c r="B52" i="3"/>
  <c r="F50" i="2"/>
  <c r="E50" i="2" s="1"/>
  <c r="D50" i="2" s="1"/>
  <c r="F45" i="3" l="1"/>
  <c r="E45" i="3" s="1"/>
  <c r="D45" i="3" s="1"/>
  <c r="B53" i="3"/>
  <c r="C52" i="3"/>
  <c r="F51" i="2"/>
  <c r="E51" i="2" s="1"/>
  <c r="D51" i="2" s="1"/>
  <c r="F46" i="3" l="1"/>
  <c r="E46" i="3" s="1"/>
  <c r="D46" i="3" s="1"/>
  <c r="B54" i="3"/>
  <c r="C53" i="3"/>
  <c r="F52" i="2"/>
  <c r="E52" i="2" s="1"/>
  <c r="D52" i="2" s="1"/>
  <c r="F47" i="3" l="1"/>
  <c r="E47" i="3" s="1"/>
  <c r="D47" i="3" s="1"/>
  <c r="B55" i="3"/>
  <c r="C54" i="3"/>
  <c r="F53" i="2"/>
  <c r="E53" i="2" s="1"/>
  <c r="D53" i="2" s="1"/>
  <c r="F48" i="3" l="1"/>
  <c r="E48" i="3" s="1"/>
  <c r="D48" i="3" s="1"/>
  <c r="B56" i="3"/>
  <c r="C55" i="3"/>
  <c r="D54" i="2"/>
  <c r="F54" i="2"/>
  <c r="E54" i="2" s="1"/>
  <c r="F49" i="3" l="1"/>
  <c r="E49" i="3" s="1"/>
  <c r="D49" i="3" s="1"/>
  <c r="C56" i="3"/>
  <c r="B57" i="3"/>
  <c r="F55" i="2"/>
  <c r="E55" i="2" s="1"/>
  <c r="D55" i="2" s="1"/>
  <c r="F50" i="3" l="1"/>
  <c r="E50" i="3" s="1"/>
  <c r="D50" i="3" s="1"/>
  <c r="B58" i="3"/>
  <c r="C57" i="3"/>
  <c r="F56" i="2"/>
  <c r="E56" i="2" s="1"/>
  <c r="D56" i="2" s="1"/>
  <c r="F51" i="3" l="1"/>
  <c r="E51" i="3" s="1"/>
  <c r="D51" i="3" s="1"/>
  <c r="B59" i="3"/>
  <c r="C58" i="3"/>
  <c r="F57" i="2"/>
  <c r="E57" i="2" s="1"/>
  <c r="D57" i="2" s="1"/>
  <c r="C59" i="3" l="1"/>
  <c r="B60" i="3"/>
  <c r="F52" i="3"/>
  <c r="E52" i="3" s="1"/>
  <c r="D52" i="3" s="1"/>
  <c r="F58" i="2"/>
  <c r="E58" i="2" s="1"/>
  <c r="D58" i="2" s="1"/>
  <c r="B61" i="3" l="1"/>
  <c r="C60" i="3"/>
  <c r="F53" i="3"/>
  <c r="E53" i="3" s="1"/>
  <c r="D53" i="3" s="1"/>
  <c r="F59" i="2"/>
  <c r="E59" i="2" s="1"/>
  <c r="D59" i="2" s="1"/>
  <c r="F54" i="3" l="1"/>
  <c r="E54" i="3" s="1"/>
  <c r="D54" i="3" s="1"/>
  <c r="B62" i="3"/>
  <c r="C61" i="3"/>
  <c r="F60" i="2"/>
  <c r="E60" i="2" s="1"/>
  <c r="D60" i="2" s="1"/>
  <c r="F55" i="3" l="1"/>
  <c r="E55" i="3" s="1"/>
  <c r="D55" i="3" s="1"/>
  <c r="B63" i="3"/>
  <c r="C62" i="3"/>
  <c r="F61" i="2"/>
  <c r="E61" i="2" s="1"/>
  <c r="D61" i="2" s="1"/>
  <c r="B64" i="3" l="1"/>
  <c r="C63" i="3"/>
  <c r="F56" i="3"/>
  <c r="E56" i="3" s="1"/>
  <c r="D56" i="3" s="1"/>
  <c r="F62" i="2"/>
  <c r="E62" i="2" s="1"/>
  <c r="D62" i="2" s="1"/>
  <c r="F57" i="3" l="1"/>
  <c r="E57" i="3" s="1"/>
  <c r="D57" i="3" s="1"/>
  <c r="C64" i="3"/>
  <c r="B65" i="3"/>
  <c r="F63" i="2"/>
  <c r="E63" i="2" s="1"/>
  <c r="D63" i="2" s="1"/>
  <c r="F58" i="3" l="1"/>
  <c r="E58" i="3" s="1"/>
  <c r="D58" i="3" s="1"/>
  <c r="B66" i="3"/>
  <c r="C65" i="3"/>
  <c r="F64" i="2"/>
  <c r="E64" i="2" s="1"/>
  <c r="D64" i="2" s="1"/>
  <c r="F59" i="3" l="1"/>
  <c r="E59" i="3" s="1"/>
  <c r="D59" i="3" s="1"/>
  <c r="B67" i="3"/>
  <c r="C66" i="3"/>
  <c r="F65" i="2"/>
  <c r="E65" i="2" s="1"/>
  <c r="D65" i="2" s="1"/>
  <c r="F60" i="3" l="1"/>
  <c r="E60" i="3" s="1"/>
  <c r="D60" i="3" s="1"/>
  <c r="C67" i="3"/>
  <c r="B68" i="3"/>
  <c r="F66" i="2"/>
  <c r="E66" i="2" s="1"/>
  <c r="D66" i="2" s="1"/>
  <c r="F61" i="3" l="1"/>
  <c r="E61" i="3" s="1"/>
  <c r="D61" i="3" s="1"/>
  <c r="B69" i="3"/>
  <c r="C68" i="3"/>
  <c r="F67" i="2"/>
  <c r="E67" i="2" s="1"/>
  <c r="D67" i="2" s="1"/>
  <c r="F62" i="3" l="1"/>
  <c r="E62" i="3" s="1"/>
  <c r="D62" i="3" s="1"/>
  <c r="B70" i="3"/>
  <c r="C69" i="3"/>
  <c r="F68" i="2"/>
  <c r="E68" i="2" s="1"/>
  <c r="D68" i="2" s="1"/>
  <c r="F63" i="3" l="1"/>
  <c r="E63" i="3" s="1"/>
  <c r="D63" i="3" s="1"/>
  <c r="B71" i="3"/>
  <c r="F69" i="2"/>
  <c r="E69" i="2" s="1"/>
  <c r="D69" i="2" s="1"/>
  <c r="B5" i="2" s="1"/>
  <c r="F64" i="3" l="1"/>
  <c r="E64" i="3" s="1"/>
  <c r="D64" i="3" s="1"/>
  <c r="B72" i="3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193" i="2"/>
  <c r="C189" i="2"/>
  <c r="C185" i="2"/>
  <c r="C181" i="2"/>
  <c r="C177" i="2"/>
  <c r="C173" i="2"/>
  <c r="C169" i="2"/>
  <c r="C165" i="2"/>
  <c r="C161" i="2"/>
  <c r="C157" i="2"/>
  <c r="C153" i="2"/>
  <c r="C149" i="2"/>
  <c r="C145" i="2"/>
  <c r="C141" i="2"/>
  <c r="C137" i="2"/>
  <c r="C133" i="2"/>
  <c r="C129" i="2"/>
  <c r="C125" i="2"/>
  <c r="C121" i="2"/>
  <c r="C117" i="2"/>
  <c r="C113" i="2"/>
  <c r="C109" i="2"/>
  <c r="C105" i="2"/>
  <c r="C101" i="2"/>
  <c r="C97" i="2"/>
  <c r="C93" i="2"/>
  <c r="C89" i="2"/>
  <c r="C85" i="2"/>
  <c r="C81" i="2"/>
  <c r="C77" i="2"/>
  <c r="C73" i="2"/>
  <c r="C110" i="2"/>
  <c r="C90" i="2"/>
  <c r="C8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98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139" i="2"/>
  <c r="C135" i="2"/>
  <c r="C131" i="2"/>
  <c r="C127" i="2"/>
  <c r="C123" i="2"/>
  <c r="C119" i="2"/>
  <c r="C115" i="2"/>
  <c r="C111" i="2"/>
  <c r="C107" i="2"/>
  <c r="C103" i="2"/>
  <c r="C99" i="2"/>
  <c r="C95" i="2"/>
  <c r="C91" i="2"/>
  <c r="C87" i="2"/>
  <c r="C83" i="2"/>
  <c r="C79" i="2"/>
  <c r="C75" i="2"/>
  <c r="C71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06" i="2"/>
  <c r="C102" i="2"/>
  <c r="C94" i="2"/>
  <c r="C86" i="2"/>
  <c r="C70" i="2"/>
  <c r="C78" i="2"/>
  <c r="C74" i="2"/>
  <c r="F70" i="2"/>
  <c r="E70" i="2" s="1"/>
  <c r="D70" i="2" s="1"/>
  <c r="F65" i="3" l="1"/>
  <c r="E65" i="3" s="1"/>
  <c r="D65" i="3" s="1"/>
  <c r="B73" i="3"/>
  <c r="F71" i="2"/>
  <c r="E71" i="2" s="1"/>
  <c r="D71" i="2" s="1"/>
  <c r="F66" i="3" l="1"/>
  <c r="E66" i="3" s="1"/>
  <c r="D66" i="3" s="1"/>
  <c r="B74" i="3"/>
  <c r="F72" i="2"/>
  <c r="E72" i="2" s="1"/>
  <c r="D72" i="2"/>
  <c r="F67" i="3" l="1"/>
  <c r="E67" i="3" s="1"/>
  <c r="D67" i="3" s="1"/>
  <c r="B75" i="3"/>
  <c r="F73" i="2"/>
  <c r="E73" i="2" s="1"/>
  <c r="D73" i="2" s="1"/>
  <c r="F68" i="3" l="1"/>
  <c r="E68" i="3" s="1"/>
  <c r="D68" i="3" s="1"/>
  <c r="B76" i="3"/>
  <c r="F74" i="2"/>
  <c r="E74" i="2" s="1"/>
  <c r="D74" i="2" s="1"/>
  <c r="B77" i="3" l="1"/>
  <c r="F69" i="3"/>
  <c r="F75" i="2"/>
  <c r="E75" i="2" s="1"/>
  <c r="D75" i="2" s="1"/>
  <c r="B6" i="3" l="1"/>
  <c r="B19" i="4" s="1"/>
  <c r="E69" i="3"/>
  <c r="D69" i="3" s="1"/>
  <c r="B78" i="3"/>
  <c r="F76" i="2"/>
  <c r="E76" i="2" s="1"/>
  <c r="D76" i="2" s="1"/>
  <c r="B79" i="3" l="1"/>
  <c r="B5" i="3"/>
  <c r="F70" i="3"/>
  <c r="F77" i="2"/>
  <c r="E77" i="2" s="1"/>
  <c r="D77" i="2" s="1"/>
  <c r="C70" i="3" l="1"/>
  <c r="C71" i="3"/>
  <c r="C72" i="3"/>
  <c r="C73" i="3"/>
  <c r="C74" i="3"/>
  <c r="C75" i="3"/>
  <c r="C76" i="3"/>
  <c r="C77" i="3"/>
  <c r="B80" i="3"/>
  <c r="C79" i="3"/>
  <c r="C78" i="3"/>
  <c r="F78" i="2"/>
  <c r="E78" i="2" s="1"/>
  <c r="D78" i="2" s="1"/>
  <c r="E70" i="3" l="1"/>
  <c r="D70" i="3" s="1"/>
  <c r="B22" i="4"/>
  <c r="C80" i="3"/>
  <c r="B81" i="3"/>
  <c r="F71" i="3"/>
  <c r="E71" i="3" s="1"/>
  <c r="D71" i="3" s="1"/>
  <c r="F79" i="2"/>
  <c r="E79" i="2" s="1"/>
  <c r="D79" i="2" s="1"/>
  <c r="F72" i="3" l="1"/>
  <c r="E72" i="3" s="1"/>
  <c r="D72" i="3" s="1"/>
  <c r="B82" i="3"/>
  <c r="C81" i="3"/>
  <c r="F80" i="2"/>
  <c r="E80" i="2" s="1"/>
  <c r="D80" i="2" s="1"/>
  <c r="F73" i="3" l="1"/>
  <c r="E73" i="3" s="1"/>
  <c r="D73" i="3" s="1"/>
  <c r="B83" i="3"/>
  <c r="C82" i="3"/>
  <c r="F81" i="2"/>
  <c r="E81" i="2" s="1"/>
  <c r="D81" i="2" s="1"/>
  <c r="F74" i="3" l="1"/>
  <c r="E74" i="3" s="1"/>
  <c r="D74" i="3" s="1"/>
  <c r="B84" i="3"/>
  <c r="C83" i="3"/>
  <c r="F82" i="2"/>
  <c r="E82" i="2" s="1"/>
  <c r="D82" i="2" s="1"/>
  <c r="F75" i="3" l="1"/>
  <c r="E75" i="3" s="1"/>
  <c r="D75" i="3" s="1"/>
  <c r="B85" i="3"/>
  <c r="C84" i="3"/>
  <c r="F83" i="2"/>
  <c r="E83" i="2" s="1"/>
  <c r="D83" i="2" s="1"/>
  <c r="F76" i="3" l="1"/>
  <c r="E76" i="3" s="1"/>
  <c r="D76" i="3" s="1"/>
  <c r="B86" i="3"/>
  <c r="C85" i="3"/>
  <c r="F84" i="2"/>
  <c r="E84" i="2" s="1"/>
  <c r="D84" i="2" s="1"/>
  <c r="F77" i="3" l="1"/>
  <c r="E77" i="3" s="1"/>
  <c r="D77" i="3" s="1"/>
  <c r="B87" i="3"/>
  <c r="C86" i="3"/>
  <c r="F85" i="2"/>
  <c r="E85" i="2" s="1"/>
  <c r="D85" i="2" s="1"/>
  <c r="F78" i="3" l="1"/>
  <c r="E78" i="3" s="1"/>
  <c r="D78" i="3" s="1"/>
  <c r="C87" i="3"/>
  <c r="B88" i="3"/>
  <c r="F86" i="2"/>
  <c r="E86" i="2" s="1"/>
  <c r="D86" i="2" s="1"/>
  <c r="F79" i="3" l="1"/>
  <c r="E79" i="3" s="1"/>
  <c r="D79" i="3" s="1"/>
  <c r="C88" i="3"/>
  <c r="B89" i="3"/>
  <c r="F87" i="2"/>
  <c r="E87" i="2" s="1"/>
  <c r="D87" i="2" s="1"/>
  <c r="F80" i="3" l="1"/>
  <c r="E80" i="3" s="1"/>
  <c r="D80" i="3" s="1"/>
  <c r="C89" i="3"/>
  <c r="B90" i="3"/>
  <c r="F88" i="2"/>
  <c r="E88" i="2" s="1"/>
  <c r="D88" i="2" s="1"/>
  <c r="F81" i="3" l="1"/>
  <c r="E81" i="3" s="1"/>
  <c r="D81" i="3" s="1"/>
  <c r="B91" i="3"/>
  <c r="C90" i="3"/>
  <c r="F89" i="2"/>
  <c r="E89" i="2" s="1"/>
  <c r="D89" i="2" s="1"/>
  <c r="F82" i="3" l="1"/>
  <c r="E82" i="3" s="1"/>
  <c r="D82" i="3" s="1"/>
  <c r="C91" i="3"/>
  <c r="B92" i="3"/>
  <c r="F90" i="2"/>
  <c r="E90" i="2" s="1"/>
  <c r="D90" i="2" s="1"/>
  <c r="F83" i="3" l="1"/>
  <c r="E83" i="3" s="1"/>
  <c r="D83" i="3" s="1"/>
  <c r="C92" i="3"/>
  <c r="B93" i="3"/>
  <c r="F91" i="2"/>
  <c r="E91" i="2" s="1"/>
  <c r="D91" i="2" s="1"/>
  <c r="F84" i="3" l="1"/>
  <c r="E84" i="3" s="1"/>
  <c r="D84" i="3" s="1"/>
  <c r="C93" i="3"/>
  <c r="B94" i="3"/>
  <c r="F92" i="2"/>
  <c r="E92" i="2" s="1"/>
  <c r="D92" i="2" s="1"/>
  <c r="F85" i="3" l="1"/>
  <c r="E85" i="3" s="1"/>
  <c r="D85" i="3" s="1"/>
  <c r="B95" i="3"/>
  <c r="C94" i="3"/>
  <c r="F93" i="2"/>
  <c r="E93" i="2" s="1"/>
  <c r="D93" i="2" s="1"/>
  <c r="F86" i="3" l="1"/>
  <c r="E86" i="3" s="1"/>
  <c r="D86" i="3" s="1"/>
  <c r="C95" i="3"/>
  <c r="B96" i="3"/>
  <c r="F94" i="2"/>
  <c r="E94" i="2" s="1"/>
  <c r="D94" i="2" s="1"/>
  <c r="F87" i="3" l="1"/>
  <c r="E87" i="3" s="1"/>
  <c r="D87" i="3" s="1"/>
  <c r="B97" i="3"/>
  <c r="C96" i="3"/>
  <c r="F95" i="2"/>
  <c r="E95" i="2" s="1"/>
  <c r="D95" i="2" s="1"/>
  <c r="F88" i="3" l="1"/>
  <c r="E88" i="3" s="1"/>
  <c r="D88" i="3" s="1"/>
  <c r="C97" i="3"/>
  <c r="B98" i="3"/>
  <c r="F96" i="2"/>
  <c r="E96" i="2" s="1"/>
  <c r="D96" i="2" s="1"/>
  <c r="F89" i="3" l="1"/>
  <c r="E89" i="3" s="1"/>
  <c r="D89" i="3" s="1"/>
  <c r="B99" i="3"/>
  <c r="C98" i="3"/>
  <c r="F97" i="2"/>
  <c r="E97" i="2" s="1"/>
  <c r="D97" i="2" s="1"/>
  <c r="F90" i="3" l="1"/>
  <c r="E90" i="3" s="1"/>
  <c r="D90" i="3" s="1"/>
  <c r="B100" i="3"/>
  <c r="C99" i="3"/>
  <c r="F98" i="2"/>
  <c r="E98" i="2" s="1"/>
  <c r="D98" i="2" s="1"/>
  <c r="F91" i="3" l="1"/>
  <c r="E91" i="3" s="1"/>
  <c r="D91" i="3" s="1"/>
  <c r="B101" i="3"/>
  <c r="C100" i="3"/>
  <c r="F99" i="2"/>
  <c r="E99" i="2" s="1"/>
  <c r="D99" i="2" s="1"/>
  <c r="B102" i="3" l="1"/>
  <c r="C101" i="3"/>
  <c r="F92" i="3"/>
  <c r="E92" i="3" s="1"/>
  <c r="D92" i="3" s="1"/>
  <c r="F100" i="2"/>
  <c r="E100" i="2" s="1"/>
  <c r="D100" i="2" s="1"/>
  <c r="F93" i="3" l="1"/>
  <c r="E93" i="3" s="1"/>
  <c r="D93" i="3" s="1"/>
  <c r="B103" i="3"/>
  <c r="C102" i="3"/>
  <c r="F101" i="2"/>
  <c r="E101" i="2" s="1"/>
  <c r="D101" i="2" s="1"/>
  <c r="C103" i="3" l="1"/>
  <c r="B104" i="3"/>
  <c r="F94" i="3"/>
  <c r="E94" i="3" s="1"/>
  <c r="D94" i="3" s="1"/>
  <c r="F102" i="2"/>
  <c r="E102" i="2" s="1"/>
  <c r="D102" i="2" s="1"/>
  <c r="F95" i="3" l="1"/>
  <c r="E95" i="3" s="1"/>
  <c r="D95" i="3" s="1"/>
  <c r="C104" i="3"/>
  <c r="B105" i="3"/>
  <c r="F103" i="2"/>
  <c r="E103" i="2" s="1"/>
  <c r="D103" i="2" s="1"/>
  <c r="F96" i="3" l="1"/>
  <c r="E96" i="3" s="1"/>
  <c r="D96" i="3" s="1"/>
  <c r="C105" i="3"/>
  <c r="B106" i="3"/>
  <c r="F104" i="2"/>
  <c r="E104" i="2" s="1"/>
  <c r="D104" i="2" s="1"/>
  <c r="F97" i="3" l="1"/>
  <c r="E97" i="3" s="1"/>
  <c r="D97" i="3" s="1"/>
  <c r="B107" i="3"/>
  <c r="C106" i="3"/>
  <c r="F105" i="2"/>
  <c r="E105" i="2" s="1"/>
  <c r="D105" i="2" s="1"/>
  <c r="F98" i="3" l="1"/>
  <c r="E98" i="3" s="1"/>
  <c r="D98" i="3" s="1"/>
  <c r="B108" i="3"/>
  <c r="C107" i="3"/>
  <c r="F106" i="2"/>
  <c r="E106" i="2" s="1"/>
  <c r="D106" i="2" s="1"/>
  <c r="F99" i="3" l="1"/>
  <c r="E99" i="3" s="1"/>
  <c r="D99" i="3" s="1"/>
  <c r="B109" i="3"/>
  <c r="C108" i="3"/>
  <c r="F107" i="2"/>
  <c r="E107" i="2" s="1"/>
  <c r="D107" i="2" s="1"/>
  <c r="F100" i="3" l="1"/>
  <c r="E100" i="3" s="1"/>
  <c r="D100" i="3" s="1"/>
  <c r="B110" i="3"/>
  <c r="C109" i="3"/>
  <c r="F108" i="2"/>
  <c r="E108" i="2" s="1"/>
  <c r="D108" i="2" s="1"/>
  <c r="F101" i="3" l="1"/>
  <c r="E101" i="3" s="1"/>
  <c r="D101" i="3" s="1"/>
  <c r="B111" i="3"/>
  <c r="C110" i="3"/>
  <c r="F109" i="2"/>
  <c r="E109" i="2" s="1"/>
  <c r="D109" i="2" s="1"/>
  <c r="C111" i="3" l="1"/>
  <c r="B112" i="3"/>
  <c r="F102" i="3"/>
  <c r="E102" i="3" s="1"/>
  <c r="D102" i="3" s="1"/>
  <c r="F110" i="2"/>
  <c r="E110" i="2" s="1"/>
  <c r="D110" i="2" s="1"/>
  <c r="F103" i="3" l="1"/>
  <c r="E103" i="3" s="1"/>
  <c r="D103" i="3" s="1"/>
  <c r="C112" i="3"/>
  <c r="B113" i="3"/>
  <c r="F111" i="2"/>
  <c r="E111" i="2" s="1"/>
  <c r="D111" i="2" s="1"/>
  <c r="F104" i="3" l="1"/>
  <c r="E104" i="3" s="1"/>
  <c r="D104" i="3" s="1"/>
  <c r="C113" i="3"/>
  <c r="B114" i="3"/>
  <c r="F112" i="2"/>
  <c r="E112" i="2" s="1"/>
  <c r="D112" i="2" s="1"/>
  <c r="F105" i="3" l="1"/>
  <c r="E105" i="3" s="1"/>
  <c r="D105" i="3" s="1"/>
  <c r="B115" i="3"/>
  <c r="C114" i="3"/>
  <c r="F113" i="2"/>
  <c r="E113" i="2" s="1"/>
  <c r="D113" i="2" s="1"/>
  <c r="F106" i="3" l="1"/>
  <c r="E106" i="3" s="1"/>
  <c r="D106" i="3" s="1"/>
  <c r="C115" i="3"/>
  <c r="B116" i="3"/>
  <c r="F114" i="2"/>
  <c r="E114" i="2" s="1"/>
  <c r="D114" i="2" s="1"/>
  <c r="F107" i="3" l="1"/>
  <c r="E107" i="3" s="1"/>
  <c r="D107" i="3" s="1"/>
  <c r="B117" i="3"/>
  <c r="C116" i="3"/>
  <c r="F115" i="2"/>
  <c r="E115" i="2" s="1"/>
  <c r="D115" i="2" s="1"/>
  <c r="F108" i="3" l="1"/>
  <c r="E108" i="3" s="1"/>
  <c r="D108" i="3" s="1"/>
  <c r="B118" i="3"/>
  <c r="C117" i="3"/>
  <c r="F116" i="2"/>
  <c r="E116" i="2" s="1"/>
  <c r="D116" i="2" s="1"/>
  <c r="F109" i="3" l="1"/>
  <c r="E109" i="3" s="1"/>
  <c r="D109" i="3" s="1"/>
  <c r="B119" i="3"/>
  <c r="C118" i="3"/>
  <c r="F117" i="2"/>
  <c r="E117" i="2" s="1"/>
  <c r="D117" i="2" s="1"/>
  <c r="F110" i="3" l="1"/>
  <c r="E110" i="3" s="1"/>
  <c r="D110" i="3" s="1"/>
  <c r="B120" i="3"/>
  <c r="C119" i="3"/>
  <c r="F118" i="2"/>
  <c r="E118" i="2" s="1"/>
  <c r="D118" i="2" s="1"/>
  <c r="F111" i="3" l="1"/>
  <c r="E111" i="3" s="1"/>
  <c r="D111" i="3" s="1"/>
  <c r="B121" i="3"/>
  <c r="C120" i="3"/>
  <c r="F119" i="2"/>
  <c r="E119" i="2" s="1"/>
  <c r="D119" i="2" s="1"/>
  <c r="F112" i="3" l="1"/>
  <c r="E112" i="3" s="1"/>
  <c r="D112" i="3" s="1"/>
  <c r="C121" i="3"/>
  <c r="B122" i="3"/>
  <c r="F120" i="2"/>
  <c r="E120" i="2" s="1"/>
  <c r="D120" i="2" s="1"/>
  <c r="F113" i="3" l="1"/>
  <c r="E113" i="3" s="1"/>
  <c r="D113" i="3" s="1"/>
  <c r="B123" i="3"/>
  <c r="C122" i="3"/>
  <c r="F121" i="2"/>
  <c r="E121" i="2" s="1"/>
  <c r="D121" i="2" s="1"/>
  <c r="F114" i="3" l="1"/>
  <c r="E114" i="3" s="1"/>
  <c r="D114" i="3" s="1"/>
  <c r="B124" i="3"/>
  <c r="C123" i="3"/>
  <c r="F122" i="2"/>
  <c r="E122" i="2" s="1"/>
  <c r="D122" i="2" s="1"/>
  <c r="F115" i="3" l="1"/>
  <c r="E115" i="3" s="1"/>
  <c r="D115" i="3" s="1"/>
  <c r="B125" i="3"/>
  <c r="C124" i="3"/>
  <c r="F123" i="2"/>
  <c r="E123" i="2" s="1"/>
  <c r="D123" i="2" s="1"/>
  <c r="F116" i="3" l="1"/>
  <c r="E116" i="3" s="1"/>
  <c r="D116" i="3" s="1"/>
  <c r="B126" i="3"/>
  <c r="C125" i="3"/>
  <c r="F124" i="2"/>
  <c r="E124" i="2" s="1"/>
  <c r="D124" i="2" s="1"/>
  <c r="F117" i="3" l="1"/>
  <c r="E117" i="3" s="1"/>
  <c r="D117" i="3" s="1"/>
  <c r="B127" i="3"/>
  <c r="C126" i="3"/>
  <c r="F125" i="2"/>
  <c r="E125" i="2" s="1"/>
  <c r="D125" i="2" s="1"/>
  <c r="F118" i="3" l="1"/>
  <c r="E118" i="3" s="1"/>
  <c r="D118" i="3" s="1"/>
  <c r="C127" i="3"/>
  <c r="B128" i="3"/>
  <c r="F126" i="2"/>
  <c r="E126" i="2" s="1"/>
  <c r="D126" i="2" s="1"/>
  <c r="F119" i="3" l="1"/>
  <c r="E119" i="3" s="1"/>
  <c r="D119" i="3" s="1"/>
  <c r="C128" i="3"/>
  <c r="B129" i="3"/>
  <c r="F127" i="2"/>
  <c r="E127" i="2" s="1"/>
  <c r="D127" i="2" s="1"/>
  <c r="F120" i="3" l="1"/>
  <c r="E120" i="3" s="1"/>
  <c r="D120" i="3" s="1"/>
  <c r="C129" i="3"/>
  <c r="B130" i="3"/>
  <c r="F128" i="2"/>
  <c r="E128" i="2" s="1"/>
  <c r="D128" i="2" s="1"/>
  <c r="F121" i="3" l="1"/>
  <c r="E121" i="3" s="1"/>
  <c r="D121" i="3" s="1"/>
  <c r="B131" i="3"/>
  <c r="C130" i="3"/>
  <c r="F129" i="2"/>
  <c r="E129" i="2" s="1"/>
  <c r="D129" i="2" s="1"/>
  <c r="F122" i="3" l="1"/>
  <c r="E122" i="3" s="1"/>
  <c r="D122" i="3" s="1"/>
  <c r="C131" i="3"/>
  <c r="B132" i="3"/>
  <c r="F130" i="2"/>
  <c r="E130" i="2" s="1"/>
  <c r="D130" i="2" s="1"/>
  <c r="F123" i="3" l="1"/>
  <c r="E123" i="3" s="1"/>
  <c r="D123" i="3" s="1"/>
  <c r="C132" i="3"/>
  <c r="B133" i="3"/>
  <c r="F131" i="2"/>
  <c r="E131" i="2" s="1"/>
  <c r="D131" i="2" s="1"/>
  <c r="F124" i="3" l="1"/>
  <c r="E124" i="3" s="1"/>
  <c r="D124" i="3" s="1"/>
  <c r="C133" i="3"/>
  <c r="B134" i="3"/>
  <c r="F132" i="2"/>
  <c r="E132" i="2" s="1"/>
  <c r="D132" i="2" s="1"/>
  <c r="B135" i="3" l="1"/>
  <c r="C134" i="3"/>
  <c r="F125" i="3"/>
  <c r="E125" i="3" s="1"/>
  <c r="D125" i="3" s="1"/>
  <c r="F133" i="2"/>
  <c r="E133" i="2" s="1"/>
  <c r="D133" i="2" s="1"/>
  <c r="F126" i="3" l="1"/>
  <c r="E126" i="3" s="1"/>
  <c r="D126" i="3" s="1"/>
  <c r="B136" i="3"/>
  <c r="C135" i="3"/>
  <c r="F134" i="2"/>
  <c r="E134" i="2" s="1"/>
  <c r="D134" i="2" s="1"/>
  <c r="F127" i="3" l="1"/>
  <c r="E127" i="3" s="1"/>
  <c r="D127" i="3" s="1"/>
  <c r="C136" i="3"/>
  <c r="B137" i="3"/>
  <c r="F135" i="2"/>
  <c r="E135" i="2" s="1"/>
  <c r="D135" i="2" s="1"/>
  <c r="F128" i="3" l="1"/>
  <c r="E128" i="3" s="1"/>
  <c r="D128" i="3" s="1"/>
  <c r="B138" i="3"/>
  <c r="C137" i="3"/>
  <c r="F136" i="2"/>
  <c r="E136" i="2" s="1"/>
  <c r="D136" i="2" s="1"/>
  <c r="B139" i="3" l="1"/>
  <c r="C138" i="3"/>
  <c r="F129" i="3"/>
  <c r="E129" i="3" s="1"/>
  <c r="D129" i="3" s="1"/>
  <c r="F137" i="2"/>
  <c r="E137" i="2" s="1"/>
  <c r="D137" i="2" s="1"/>
  <c r="F130" i="3" l="1"/>
  <c r="E130" i="3" s="1"/>
  <c r="D130" i="3" s="1"/>
  <c r="B140" i="3"/>
  <c r="C139" i="3"/>
  <c r="F138" i="2"/>
  <c r="E138" i="2" s="1"/>
  <c r="D138" i="2" s="1"/>
  <c r="F131" i="3" l="1"/>
  <c r="E131" i="3" s="1"/>
  <c r="D131" i="3" s="1"/>
  <c r="B141" i="3"/>
  <c r="C140" i="3"/>
  <c r="F139" i="2"/>
  <c r="E139" i="2" s="1"/>
  <c r="D139" i="2" s="1"/>
  <c r="F132" i="3" l="1"/>
  <c r="E132" i="3" s="1"/>
  <c r="D132" i="3" s="1"/>
  <c r="B142" i="3"/>
  <c r="C141" i="3"/>
  <c r="F140" i="2"/>
  <c r="E140" i="2" s="1"/>
  <c r="D140" i="2" s="1"/>
  <c r="F133" i="3" l="1"/>
  <c r="E133" i="3" s="1"/>
  <c r="D133" i="3" s="1"/>
  <c r="B143" i="3"/>
  <c r="C142" i="3"/>
  <c r="F141" i="2"/>
  <c r="E141" i="2" s="1"/>
  <c r="D141" i="2" s="1"/>
  <c r="F134" i="3" l="1"/>
  <c r="E134" i="3" s="1"/>
  <c r="D134" i="3" s="1"/>
  <c r="C143" i="3"/>
  <c r="B144" i="3"/>
  <c r="F142" i="2"/>
  <c r="E142" i="2" s="1"/>
  <c r="D142" i="2" s="1"/>
  <c r="F135" i="3" l="1"/>
  <c r="E135" i="3" s="1"/>
  <c r="D135" i="3" s="1"/>
  <c r="C144" i="3"/>
  <c r="B145" i="3"/>
  <c r="F143" i="2"/>
  <c r="E143" i="2" s="1"/>
  <c r="D143" i="2" s="1"/>
  <c r="F136" i="3" l="1"/>
  <c r="E136" i="3" s="1"/>
  <c r="D136" i="3" s="1"/>
  <c r="C145" i="3"/>
  <c r="B146" i="3"/>
  <c r="F144" i="2"/>
  <c r="E144" i="2" s="1"/>
  <c r="D144" i="2" s="1"/>
  <c r="F137" i="3" l="1"/>
  <c r="E137" i="3" s="1"/>
  <c r="D137" i="3" s="1"/>
  <c r="B147" i="3"/>
  <c r="C146" i="3"/>
  <c r="F145" i="2"/>
  <c r="E145" i="2" s="1"/>
  <c r="D145" i="2" s="1"/>
  <c r="F138" i="3" l="1"/>
  <c r="E138" i="3" s="1"/>
  <c r="D138" i="3" s="1"/>
  <c r="C147" i="3"/>
  <c r="B148" i="3"/>
  <c r="F146" i="2"/>
  <c r="E146" i="2" s="1"/>
  <c r="D146" i="2" s="1"/>
  <c r="F139" i="3" l="1"/>
  <c r="E139" i="3" s="1"/>
  <c r="D139" i="3" s="1"/>
  <c r="C148" i="3"/>
  <c r="B149" i="3"/>
  <c r="F147" i="2"/>
  <c r="E147" i="2" s="1"/>
  <c r="D147" i="2" s="1"/>
  <c r="C149" i="3" l="1"/>
  <c r="B150" i="3"/>
  <c r="F140" i="3"/>
  <c r="E140" i="3" s="1"/>
  <c r="D140" i="3" s="1"/>
  <c r="F148" i="2"/>
  <c r="E148" i="2" s="1"/>
  <c r="D148" i="2" s="1"/>
  <c r="F141" i="3" l="1"/>
  <c r="E141" i="3" s="1"/>
  <c r="D141" i="3" s="1"/>
  <c r="B151" i="3"/>
  <c r="C150" i="3"/>
  <c r="F149" i="2"/>
  <c r="E149" i="2" s="1"/>
  <c r="D149" i="2" s="1"/>
  <c r="F142" i="3" l="1"/>
  <c r="E142" i="3" s="1"/>
  <c r="D142" i="3" s="1"/>
  <c r="C151" i="3"/>
  <c r="B152" i="3"/>
  <c r="F150" i="2"/>
  <c r="E150" i="2" s="1"/>
  <c r="D150" i="2" s="1"/>
  <c r="B153" i="3" l="1"/>
  <c r="C152" i="3"/>
  <c r="F143" i="3"/>
  <c r="E143" i="3" s="1"/>
  <c r="D143" i="3" s="1"/>
  <c r="F151" i="2"/>
  <c r="E151" i="2" s="1"/>
  <c r="D151" i="2" s="1"/>
  <c r="F144" i="3" l="1"/>
  <c r="E144" i="3" s="1"/>
  <c r="D144" i="3" s="1"/>
  <c r="C153" i="3"/>
  <c r="B154" i="3"/>
  <c r="F152" i="2"/>
  <c r="E152" i="2" s="1"/>
  <c r="D152" i="2" s="1"/>
  <c r="F145" i="3" l="1"/>
  <c r="E145" i="3" s="1"/>
  <c r="D145" i="3" s="1"/>
  <c r="B155" i="3"/>
  <c r="C154" i="3"/>
  <c r="F153" i="2"/>
  <c r="E153" i="2" s="1"/>
  <c r="D153" i="2" s="1"/>
  <c r="F146" i="3" l="1"/>
  <c r="E146" i="3" s="1"/>
  <c r="D146" i="3" s="1"/>
  <c r="B156" i="3"/>
  <c r="C155" i="3"/>
  <c r="F154" i="2"/>
  <c r="E154" i="2" s="1"/>
  <c r="D154" i="2" s="1"/>
  <c r="F147" i="3" l="1"/>
  <c r="E147" i="3" s="1"/>
  <c r="D147" i="3" s="1"/>
  <c r="B157" i="3"/>
  <c r="C156" i="3"/>
  <c r="F155" i="2"/>
  <c r="E155" i="2" s="1"/>
  <c r="D155" i="2" s="1"/>
  <c r="F148" i="3" l="1"/>
  <c r="E148" i="3" s="1"/>
  <c r="D148" i="3" s="1"/>
  <c r="B158" i="3"/>
  <c r="C157" i="3"/>
  <c r="F156" i="2"/>
  <c r="E156" i="2" s="1"/>
  <c r="D156" i="2" s="1"/>
  <c r="F149" i="3" l="1"/>
  <c r="E149" i="3" s="1"/>
  <c r="D149" i="3" s="1"/>
  <c r="B159" i="3"/>
  <c r="C158" i="3"/>
  <c r="F157" i="2"/>
  <c r="E157" i="2" s="1"/>
  <c r="D157" i="2" s="1"/>
  <c r="F150" i="3" l="1"/>
  <c r="E150" i="3" s="1"/>
  <c r="D150" i="3" s="1"/>
  <c r="C159" i="3"/>
  <c r="B160" i="3"/>
  <c r="F158" i="2"/>
  <c r="E158" i="2" s="1"/>
  <c r="D158" i="2" s="1"/>
  <c r="C160" i="3" l="1"/>
  <c r="B161" i="3"/>
  <c r="F151" i="3"/>
  <c r="E151" i="3" s="1"/>
  <c r="D151" i="3" s="1"/>
  <c r="F159" i="2"/>
  <c r="E159" i="2" s="1"/>
  <c r="D159" i="2" s="1"/>
  <c r="F152" i="3" l="1"/>
  <c r="E152" i="3" s="1"/>
  <c r="D152" i="3" s="1"/>
  <c r="C161" i="3"/>
  <c r="B162" i="3"/>
  <c r="F160" i="2"/>
  <c r="E160" i="2" s="1"/>
  <c r="D160" i="2" s="1"/>
  <c r="F153" i="3" l="1"/>
  <c r="E153" i="3" s="1"/>
  <c r="D153" i="3" s="1"/>
  <c r="B163" i="3"/>
  <c r="C162" i="3"/>
  <c r="F161" i="2"/>
  <c r="E161" i="2" s="1"/>
  <c r="D161" i="2" s="1"/>
  <c r="F154" i="3" l="1"/>
  <c r="E154" i="3" s="1"/>
  <c r="D154" i="3" s="1"/>
  <c r="C163" i="3"/>
  <c r="B164" i="3"/>
  <c r="F162" i="2"/>
  <c r="E162" i="2" s="1"/>
  <c r="D162" i="2" s="1"/>
  <c r="F155" i="3" l="1"/>
  <c r="E155" i="3" s="1"/>
  <c r="D155" i="3" s="1"/>
  <c r="B165" i="3"/>
  <c r="C164" i="3"/>
  <c r="F163" i="2"/>
  <c r="E163" i="2" s="1"/>
  <c r="D163" i="2" s="1"/>
  <c r="F156" i="3" l="1"/>
  <c r="E156" i="3" s="1"/>
  <c r="D156" i="3" s="1"/>
  <c r="B166" i="3"/>
  <c r="C165" i="3"/>
  <c r="F164" i="2"/>
  <c r="E164" i="2" s="1"/>
  <c r="D164" i="2" s="1"/>
  <c r="F157" i="3" l="1"/>
  <c r="E157" i="3" s="1"/>
  <c r="D157" i="3" s="1"/>
  <c r="B167" i="3"/>
  <c r="C166" i="3"/>
  <c r="F165" i="2"/>
  <c r="E165" i="2" s="1"/>
  <c r="D165" i="2" s="1"/>
  <c r="F158" i="3" l="1"/>
  <c r="E158" i="3" s="1"/>
  <c r="D158" i="3" s="1"/>
  <c r="C167" i="3"/>
  <c r="B168" i="3"/>
  <c r="F166" i="2"/>
  <c r="E166" i="2" s="1"/>
  <c r="D166" i="2" s="1"/>
  <c r="B169" i="3" l="1"/>
  <c r="C168" i="3"/>
  <c r="F159" i="3"/>
  <c r="E159" i="3" s="1"/>
  <c r="D159" i="3" s="1"/>
  <c r="F167" i="2"/>
  <c r="E167" i="2" s="1"/>
  <c r="D167" i="2" s="1"/>
  <c r="F160" i="3" l="1"/>
  <c r="E160" i="3" s="1"/>
  <c r="D160" i="3" s="1"/>
  <c r="B170" i="3"/>
  <c r="C169" i="3"/>
  <c r="F168" i="2"/>
  <c r="E168" i="2" s="1"/>
  <c r="D168" i="2" s="1"/>
  <c r="F161" i="3" l="1"/>
  <c r="E161" i="3" s="1"/>
  <c r="D161" i="3" s="1"/>
  <c r="B171" i="3"/>
  <c r="C170" i="3"/>
  <c r="F169" i="2"/>
  <c r="E169" i="2" s="1"/>
  <c r="D169" i="2" s="1"/>
  <c r="F162" i="3" l="1"/>
  <c r="E162" i="3" s="1"/>
  <c r="D162" i="3" s="1"/>
  <c r="B172" i="3"/>
  <c r="C171" i="3"/>
  <c r="F170" i="2"/>
  <c r="E170" i="2" s="1"/>
  <c r="D170" i="2" s="1"/>
  <c r="F163" i="3" l="1"/>
  <c r="E163" i="3" s="1"/>
  <c r="D163" i="3" s="1"/>
  <c r="B173" i="3"/>
  <c r="C172" i="3"/>
  <c r="F171" i="2"/>
  <c r="E171" i="2" s="1"/>
  <c r="D171" i="2" s="1"/>
  <c r="F164" i="3" l="1"/>
  <c r="E164" i="3" s="1"/>
  <c r="D164" i="3" s="1"/>
  <c r="C173" i="3"/>
  <c r="B174" i="3"/>
  <c r="F172" i="2"/>
  <c r="E172" i="2" s="1"/>
  <c r="D172" i="2" s="1"/>
  <c r="F165" i="3" l="1"/>
  <c r="E165" i="3" s="1"/>
  <c r="D165" i="3" s="1"/>
  <c r="C174" i="3"/>
  <c r="B175" i="3"/>
  <c r="F173" i="2"/>
  <c r="E173" i="2" s="1"/>
  <c r="D173" i="2" s="1"/>
  <c r="F166" i="3" l="1"/>
  <c r="E166" i="3" s="1"/>
  <c r="D166" i="3" s="1"/>
  <c r="C175" i="3"/>
  <c r="B176" i="3"/>
  <c r="F174" i="2"/>
  <c r="E174" i="2" s="1"/>
  <c r="D174" i="2" s="1"/>
  <c r="B177" i="3" l="1"/>
  <c r="C176" i="3"/>
  <c r="F167" i="3"/>
  <c r="E167" i="3" s="1"/>
  <c r="D167" i="3" s="1"/>
  <c r="F175" i="2"/>
  <c r="E175" i="2" s="1"/>
  <c r="D175" i="2" s="1"/>
  <c r="F168" i="3" l="1"/>
  <c r="E168" i="3" s="1"/>
  <c r="D168" i="3" s="1"/>
  <c r="C177" i="3"/>
  <c r="B178" i="3"/>
  <c r="F176" i="2"/>
  <c r="E176" i="2" s="1"/>
  <c r="D176" i="2" s="1"/>
  <c r="F169" i="3" l="1"/>
  <c r="E169" i="3" s="1"/>
  <c r="D169" i="3" s="1"/>
  <c r="C178" i="3"/>
  <c r="B179" i="3"/>
  <c r="F177" i="2"/>
  <c r="E177" i="2" s="1"/>
  <c r="D177" i="2" s="1"/>
  <c r="B180" i="3" l="1"/>
  <c r="C179" i="3"/>
  <c r="F170" i="3"/>
  <c r="E170" i="3" s="1"/>
  <c r="D170" i="3" s="1"/>
  <c r="F178" i="2"/>
  <c r="E178" i="2" s="1"/>
  <c r="D178" i="2" s="1"/>
  <c r="F171" i="3" l="1"/>
  <c r="E171" i="3" s="1"/>
  <c r="D171" i="3" s="1"/>
  <c r="B181" i="3"/>
  <c r="C180" i="3"/>
  <c r="F179" i="2"/>
  <c r="E179" i="2" s="1"/>
  <c r="D179" i="2" s="1"/>
  <c r="F172" i="3" l="1"/>
  <c r="E172" i="3" s="1"/>
  <c r="D172" i="3" s="1"/>
  <c r="C181" i="3"/>
  <c r="B182" i="3"/>
  <c r="F180" i="2"/>
  <c r="E180" i="2" s="1"/>
  <c r="D180" i="2" s="1"/>
  <c r="B183" i="3" l="1"/>
  <c r="C182" i="3"/>
  <c r="F173" i="3"/>
  <c r="E173" i="3" s="1"/>
  <c r="D173" i="3" s="1"/>
  <c r="F181" i="2"/>
  <c r="E181" i="2" s="1"/>
  <c r="D181" i="2" s="1"/>
  <c r="F174" i="3" l="1"/>
  <c r="E174" i="3" s="1"/>
  <c r="D174" i="3" s="1"/>
  <c r="C183" i="3"/>
  <c r="B184" i="3"/>
  <c r="F182" i="2"/>
  <c r="E182" i="2" s="1"/>
  <c r="D182" i="2"/>
  <c r="F175" i="3" l="1"/>
  <c r="E175" i="3" s="1"/>
  <c r="D175" i="3" s="1"/>
  <c r="B185" i="3"/>
  <c r="C184" i="3"/>
  <c r="F183" i="2"/>
  <c r="E183" i="2" s="1"/>
  <c r="D183" i="2" s="1"/>
  <c r="F176" i="3" l="1"/>
  <c r="E176" i="3" s="1"/>
  <c r="D176" i="3" s="1"/>
  <c r="B186" i="3"/>
  <c r="C185" i="3"/>
  <c r="F184" i="2"/>
  <c r="E184" i="2" s="1"/>
  <c r="D184" i="2" s="1"/>
  <c r="F177" i="3" l="1"/>
  <c r="E177" i="3" s="1"/>
  <c r="D177" i="3" s="1"/>
  <c r="B187" i="3"/>
  <c r="C186" i="3"/>
  <c r="F185" i="2"/>
  <c r="E185" i="2" s="1"/>
  <c r="D185" i="2" s="1"/>
  <c r="F178" i="3" l="1"/>
  <c r="E178" i="3" s="1"/>
  <c r="D178" i="3" s="1"/>
  <c r="B188" i="3"/>
  <c r="C187" i="3"/>
  <c r="F186" i="2"/>
  <c r="E186" i="2" s="1"/>
  <c r="D186" i="2" s="1"/>
  <c r="F179" i="3" l="1"/>
  <c r="E179" i="3" s="1"/>
  <c r="D179" i="3" s="1"/>
  <c r="B189" i="3"/>
  <c r="C188" i="3"/>
  <c r="F187" i="2"/>
  <c r="E187" i="2" s="1"/>
  <c r="D187" i="2" s="1"/>
  <c r="F180" i="3" l="1"/>
  <c r="E180" i="3" s="1"/>
  <c r="D180" i="3" s="1"/>
  <c r="C189" i="3"/>
  <c r="F188" i="2"/>
  <c r="E188" i="2" s="1"/>
  <c r="D188" i="2" s="1"/>
  <c r="F181" i="3" l="1"/>
  <c r="E181" i="3" s="1"/>
  <c r="D181" i="3" s="1"/>
  <c r="F189" i="2"/>
  <c r="E189" i="2" s="1"/>
  <c r="D189" i="2" s="1"/>
  <c r="F182" i="3" l="1"/>
  <c r="E182" i="3" s="1"/>
  <c r="D182" i="3" s="1"/>
  <c r="F190" i="2"/>
  <c r="E190" i="2" s="1"/>
  <c r="D190" i="2" s="1"/>
  <c r="F183" i="3" l="1"/>
  <c r="E183" i="3" s="1"/>
  <c r="D183" i="3" s="1"/>
  <c r="F191" i="2"/>
  <c r="E191" i="2" s="1"/>
  <c r="D191" i="2" s="1"/>
  <c r="F184" i="3" l="1"/>
  <c r="E184" i="3" s="1"/>
  <c r="D184" i="3" s="1"/>
  <c r="F192" i="2"/>
  <c r="E192" i="2" s="1"/>
  <c r="D192" i="2"/>
  <c r="F185" i="3" l="1"/>
  <c r="E185" i="3" s="1"/>
  <c r="D185" i="3" s="1"/>
  <c r="F193" i="2"/>
  <c r="E193" i="2" s="1"/>
  <c r="D193" i="2" s="1"/>
  <c r="F186" i="3" l="1"/>
  <c r="E186" i="3" s="1"/>
  <c r="D186" i="3" s="1"/>
  <c r="F194" i="2"/>
  <c r="E194" i="2" s="1"/>
  <c r="D194" i="2" s="1"/>
  <c r="F187" i="3" l="1"/>
  <c r="E187" i="3" s="1"/>
  <c r="D187" i="3" s="1"/>
  <c r="F195" i="2"/>
  <c r="E195" i="2" s="1"/>
  <c r="D195" i="2" s="1"/>
  <c r="F188" i="3" l="1"/>
  <c r="E188" i="3" s="1"/>
  <c r="D188" i="3" s="1"/>
  <c r="F196" i="2"/>
  <c r="E196" i="2" s="1"/>
  <c r="D196" i="2" s="1"/>
  <c r="F189" i="3" l="1"/>
  <c r="E189" i="3" s="1"/>
  <c r="D189" i="3" s="1"/>
  <c r="F197" i="2"/>
  <c r="E197" i="2" s="1"/>
  <c r="D197" i="2" s="1"/>
  <c r="F198" i="2" l="1"/>
  <c r="E198" i="2" s="1"/>
  <c r="D198" i="2" s="1"/>
  <c r="F199" i="2" l="1"/>
  <c r="E199" i="2" s="1"/>
  <c r="D199" i="2" s="1"/>
  <c r="F200" i="2" l="1"/>
  <c r="E200" i="2" s="1"/>
  <c r="D200" i="2" s="1"/>
  <c r="F201" i="2" l="1"/>
  <c r="E201" i="2" s="1"/>
  <c r="D201" i="2" s="1"/>
  <c r="F202" i="2" l="1"/>
  <c r="E202" i="2" s="1"/>
  <c r="D202" i="2" s="1"/>
  <c r="F203" i="2" l="1"/>
  <c r="E203" i="2" s="1"/>
  <c r="D203" i="2" s="1"/>
  <c r="F204" i="2" l="1"/>
  <c r="E204" i="2" s="1"/>
  <c r="D204" i="2" s="1"/>
  <c r="F205" i="2" l="1"/>
  <c r="E205" i="2" s="1"/>
  <c r="D205" i="2" s="1"/>
  <c r="F206" i="2" l="1"/>
  <c r="E206" i="2" s="1"/>
  <c r="D206" i="2" s="1"/>
  <c r="F207" i="2" l="1"/>
  <c r="E207" i="2" s="1"/>
  <c r="D207" i="2" s="1"/>
  <c r="F208" i="2" l="1"/>
  <c r="E208" i="2" s="1"/>
  <c r="D208" i="2" s="1"/>
  <c r="F209" i="2" l="1"/>
  <c r="E209" i="2" s="1"/>
  <c r="D209" i="2" s="1"/>
  <c r="F210" i="2" l="1"/>
  <c r="E210" i="2" s="1"/>
  <c r="D210" i="2" s="1"/>
  <c r="F211" i="2" l="1"/>
  <c r="E211" i="2" s="1"/>
  <c r="D211" i="2" s="1"/>
  <c r="F212" i="2" l="1"/>
  <c r="E212" i="2" s="1"/>
  <c r="D212" i="2" s="1"/>
  <c r="F213" i="2" l="1"/>
  <c r="E213" i="2" s="1"/>
  <c r="D213" i="2" s="1"/>
  <c r="F214" i="2" l="1"/>
  <c r="E214" i="2" s="1"/>
  <c r="D214" i="2"/>
  <c r="F215" i="2" l="1"/>
  <c r="E215" i="2" s="1"/>
  <c r="D215" i="2" s="1"/>
  <c r="F216" i="2" l="1"/>
  <c r="E216" i="2" s="1"/>
  <c r="D216" i="2" s="1"/>
  <c r="F217" i="2" l="1"/>
  <c r="E217" i="2" s="1"/>
  <c r="D217" i="2" s="1"/>
  <c r="F218" i="2" l="1"/>
  <c r="E218" i="2" s="1"/>
  <c r="D218" i="2" s="1"/>
  <c r="F219" i="2" l="1"/>
  <c r="E219" i="2" s="1"/>
  <c r="D219" i="2" s="1"/>
  <c r="F220" i="2" l="1"/>
  <c r="E220" i="2" s="1"/>
  <c r="D220" i="2" s="1"/>
  <c r="F221" i="2" l="1"/>
  <c r="E221" i="2" s="1"/>
  <c r="D221" i="2" s="1"/>
  <c r="F222" i="2" l="1"/>
  <c r="E222" i="2" s="1"/>
  <c r="D222" i="2" s="1"/>
  <c r="F223" i="2" l="1"/>
  <c r="E223" i="2" s="1"/>
  <c r="D223" i="2" s="1"/>
  <c r="F224" i="2" l="1"/>
  <c r="E224" i="2" s="1"/>
  <c r="D224" i="2"/>
  <c r="F225" i="2" l="1"/>
  <c r="E225" i="2" s="1"/>
  <c r="D225" i="2" s="1"/>
  <c r="F226" i="2" l="1"/>
  <c r="E226" i="2" s="1"/>
  <c r="D226" i="2" s="1"/>
  <c r="F227" i="2" l="1"/>
  <c r="E227" i="2" s="1"/>
  <c r="D227" i="2" s="1"/>
  <c r="F228" i="2" l="1"/>
  <c r="E228" i="2" s="1"/>
  <c r="D228" i="2" s="1"/>
  <c r="F229" i="2" l="1"/>
  <c r="E229" i="2" s="1"/>
  <c r="D229" i="2" s="1"/>
  <c r="F230" i="2" l="1"/>
  <c r="E230" i="2" s="1"/>
  <c r="D230" i="2" s="1"/>
  <c r="F231" i="2" l="1"/>
  <c r="E231" i="2" s="1"/>
  <c r="D231" i="2" s="1"/>
  <c r="F232" i="2" l="1"/>
  <c r="E232" i="2" s="1"/>
  <c r="D232" i="2" s="1"/>
  <c r="F233" i="2" l="1"/>
  <c r="E233" i="2" s="1"/>
  <c r="D233" i="2" s="1"/>
  <c r="F234" i="2" l="1"/>
  <c r="E234" i="2" s="1"/>
  <c r="D234" i="2" s="1"/>
  <c r="F235" i="2" l="1"/>
  <c r="E235" i="2" s="1"/>
  <c r="D235" i="2" s="1"/>
  <c r="F236" i="2" l="1"/>
  <c r="E236" i="2" s="1"/>
  <c r="D236" i="2"/>
  <c r="F237" i="2" l="1"/>
  <c r="E237" i="2" s="1"/>
  <c r="D237" i="2" s="1"/>
  <c r="F238" i="2" l="1"/>
  <c r="E238" i="2" s="1"/>
  <c r="D238" i="2" s="1"/>
  <c r="F239" i="2" l="1"/>
  <c r="E239" i="2" s="1"/>
  <c r="D239" i="2" s="1"/>
  <c r="F240" i="2" l="1"/>
  <c r="E240" i="2" s="1"/>
  <c r="D240" i="2" s="1"/>
  <c r="F241" i="2" l="1"/>
  <c r="E241" i="2" s="1"/>
  <c r="D241" i="2" s="1"/>
  <c r="F242" i="2" l="1"/>
  <c r="E242" i="2" s="1"/>
  <c r="D242" i="2" s="1"/>
  <c r="F243" i="2" l="1"/>
  <c r="E243" i="2" s="1"/>
  <c r="D243" i="2" s="1"/>
  <c r="F244" i="2" l="1"/>
  <c r="E244" i="2" s="1"/>
  <c r="D244" i="2" s="1"/>
  <c r="F245" i="2" l="1"/>
  <c r="E245" i="2" s="1"/>
  <c r="D245" i="2" s="1"/>
  <c r="F246" i="2" l="1"/>
  <c r="E246" i="2" s="1"/>
  <c r="D246" i="2"/>
  <c r="F247" i="2" l="1"/>
  <c r="E247" i="2" s="1"/>
  <c r="D247" i="2" s="1"/>
  <c r="F248" i="2" l="1"/>
  <c r="E248" i="2" s="1"/>
  <c r="D248" i="2" s="1"/>
  <c r="F249" i="2" l="1"/>
  <c r="E249" i="2" s="1"/>
  <c r="D249" i="2" s="1"/>
  <c r="F9" i="3" l="1"/>
  <c r="C9" i="3" l="1"/>
  <c r="B7" i="3"/>
  <c r="B20" i="4" s="1"/>
  <c r="B23" i="4" s="1"/>
</calcChain>
</file>

<file path=xl/sharedStrings.xml><?xml version="1.0" encoding="utf-8"?>
<sst xmlns="http://schemas.openxmlformats.org/spreadsheetml/2006/main" count="125" uniqueCount="71">
  <si>
    <t>Simulasi KPR tanpa Take Over</t>
  </si>
  <si>
    <t>Biaya Plafon</t>
  </si>
  <si>
    <t>Tenor (tahun)</t>
  </si>
  <si>
    <t>Masa Fix (tahun)</t>
  </si>
  <si>
    <t>Bunga Fix %</t>
  </si>
  <si>
    <t>Bunga Floating</t>
  </si>
  <si>
    <t>Bunga Floating %</t>
  </si>
  <si>
    <t>Pokok</t>
  </si>
  <si>
    <t>Bunga Fix</t>
  </si>
  <si>
    <t>Total Bunga Fix</t>
  </si>
  <si>
    <t>Total Bunga Floating</t>
  </si>
  <si>
    <t>Periode</t>
  </si>
  <si>
    <t>Sisa Pokok Setelah Bunga Fix</t>
  </si>
  <si>
    <t>Tahun</t>
  </si>
  <si>
    <t>Periode Angsuran</t>
  </si>
  <si>
    <t>Jumlah Angsuran</t>
  </si>
  <si>
    <t>Saldo Pokok</t>
  </si>
  <si>
    <t>Angsuran Pokok</t>
  </si>
  <si>
    <t>Angsuran Bunga</t>
  </si>
  <si>
    <t>Periode Bunga Fix</t>
  </si>
  <si>
    <t>Periode Bunga Floating</t>
  </si>
  <si>
    <t>bulan</t>
  </si>
  <si>
    <t>Tahun 1</t>
  </si>
  <si>
    <t>Tahun 2</t>
  </si>
  <si>
    <t>Tahun 3</t>
  </si>
  <si>
    <t>Tahun 4</t>
  </si>
  <si>
    <t>Tahun 5</t>
  </si>
  <si>
    <t>Tahun 6</t>
  </si>
  <si>
    <t>Tahun 7</t>
  </si>
  <si>
    <t>Tahun 8</t>
  </si>
  <si>
    <t>Tahun 9</t>
  </si>
  <si>
    <t>Tahun 10</t>
  </si>
  <si>
    <t>Tahun 11</t>
  </si>
  <si>
    <t>Tahun 12</t>
  </si>
  <si>
    <t>Tahun 13</t>
  </si>
  <si>
    <t>Tahun 14</t>
  </si>
  <si>
    <t>Tahun 15</t>
  </si>
  <si>
    <t>Tahun 16</t>
  </si>
  <si>
    <t>Tahun 17</t>
  </si>
  <si>
    <t>Tahun 18</t>
  </si>
  <si>
    <t>Tahun 19</t>
  </si>
  <si>
    <t>Tahun 20</t>
  </si>
  <si>
    <t>Bunga Fix (Rp)</t>
  </si>
  <si>
    <t>Bunga Floating (Rp)</t>
  </si>
  <si>
    <t>Cicilan Bunga Fix</t>
  </si>
  <si>
    <t>Cicilan Bunga Floating</t>
  </si>
  <si>
    <t>Total Bunga</t>
  </si>
  <si>
    <t>Simulasi KPR Take Over Tahun ke 6-20</t>
  </si>
  <si>
    <t>Sisa Plafon</t>
  </si>
  <si>
    <t>Biaya Take Over</t>
  </si>
  <si>
    <t>Perhitungan KPR Ke 2 Setelah Take Over</t>
  </si>
  <si>
    <t>Provisi</t>
  </si>
  <si>
    <t>Asuransi</t>
  </si>
  <si>
    <t>Pinalty</t>
  </si>
  <si>
    <t>Total Biaya Take Over</t>
  </si>
  <si>
    <t>Rangkuman Biaya yang dikeluarkan</t>
  </si>
  <si>
    <t>Bunga KPR 1 (Fix Saja)</t>
  </si>
  <si>
    <t>Bunga KPR 2 (Fix &amp; Floating)</t>
  </si>
  <si>
    <t>Total Bunga &amp; Biaya Take Over</t>
  </si>
  <si>
    <t>Perbandingan biaya KPR tanpa Take Over dengan KPR Take Over</t>
  </si>
  <si>
    <t>Total Bunga tanpa Take Over</t>
  </si>
  <si>
    <t>Total Bunga dengan Take Over</t>
  </si>
  <si>
    <t>Selisih</t>
  </si>
  <si>
    <t>Selisih (%)</t>
  </si>
  <si>
    <t>Insight</t>
  </si>
  <si>
    <t>Dengan take over, bisa menghemat</t>
  </si>
  <si>
    <t>Biaya yang dikeluarkan hanya biaya take over saja</t>
  </si>
  <si>
    <t>Note : masih dapat cashback asuransi dari KPR pertama</t>
  </si>
  <si>
    <t>Perbandingan cicilan saat pindah bank</t>
  </si>
  <si>
    <t>Bank 1</t>
  </si>
  <si>
    <t>Bank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</si>
</sst>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9" fontId="0" fillId="0" borderId="0" xfId="2" applyFont="1"/>
    <xf numFmtId="166" fontId="0" fillId="0" borderId="0" xfId="2" applyNumberFormat="1" applyFont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0" fontId="0" fillId="0" borderId="0" xfId="2" applyNumberFormat="1" applyFont="1"/>
    <xf numFmtId="0" fontId="0" fillId="0" borderId="0" xfId="0" quotePrefix="1"/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9E58-36F8-4450-9B41-9C38F52CE30C}">
  <dimension ref="A3:B14"/>
  <sheetViews>
    <sheetView workbookViewId="0">
      <selection activeCell="A5" sqref="A5:B14"/>
    </sheetView>
  </sheetViews>
  <sheetFormatPr defaultRowHeight="15" x14ac:dyDescent="0.25"/>
  <cols>
    <col min="1" max="1" width="20.5703125" customWidth="1"/>
    <col min="2" max="2" width="19.28515625" bestFit="1" customWidth="1"/>
  </cols>
  <sheetData>
    <row r="3" spans="1:2" x14ac:dyDescent="0.25">
      <c r="A3" s="8" t="s">
        <v>0</v>
      </c>
    </row>
    <row r="5" spans="1:2" x14ac:dyDescent="0.25">
      <c r="A5" t="s">
        <v>1</v>
      </c>
      <c r="B5" s="1">
        <v>2000000000</v>
      </c>
    </row>
    <row r="6" spans="1:2" x14ac:dyDescent="0.25">
      <c r="A6" t="s">
        <v>2</v>
      </c>
      <c r="B6">
        <v>20</v>
      </c>
    </row>
    <row r="7" spans="1:2" x14ac:dyDescent="0.25">
      <c r="A7" t="s">
        <v>3</v>
      </c>
      <c r="B7">
        <v>5</v>
      </c>
    </row>
    <row r="8" spans="1:2" x14ac:dyDescent="0.25">
      <c r="A8" t="s">
        <v>4</v>
      </c>
      <c r="B8" s="3">
        <v>3.5000000000000003E-2</v>
      </c>
    </row>
    <row r="9" spans="1:2" x14ac:dyDescent="0.25">
      <c r="A9" t="s">
        <v>6</v>
      </c>
      <c r="B9" s="3">
        <v>0.12</v>
      </c>
    </row>
    <row r="10" spans="1:2" x14ac:dyDescent="0.25">
      <c r="A10" t="s">
        <v>42</v>
      </c>
      <c r="B10" s="1">
        <f>'KPR 1'!B6</f>
        <v>318483152.95848149</v>
      </c>
    </row>
    <row r="11" spans="1:2" x14ac:dyDescent="0.25">
      <c r="A11" t="s">
        <v>43</v>
      </c>
      <c r="B11" s="1">
        <f>'KPR 1'!B7</f>
        <v>1882627364.8641517</v>
      </c>
    </row>
    <row r="12" spans="1:2" x14ac:dyDescent="0.25">
      <c r="A12" t="s">
        <v>44</v>
      </c>
      <c r="B12" s="1">
        <f>'KPR 1'!C10</f>
        <v>11599194.359661883</v>
      </c>
    </row>
    <row r="13" spans="1:2" x14ac:dyDescent="0.25">
      <c r="A13" t="s">
        <v>45</v>
      </c>
      <c r="B13" s="1">
        <f>'KPR 1'!C70</f>
        <v>19473104.75690509</v>
      </c>
    </row>
    <row r="14" spans="1:2" x14ac:dyDescent="0.25">
      <c r="A14" s="8" t="s">
        <v>46</v>
      </c>
      <c r="B14" s="9">
        <f>B10+B11</f>
        <v>2201110517.8226333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4DA6-E4BB-4493-ACF3-DCBD2D6D1AFB}">
  <dimension ref="A3:C49"/>
  <sheetViews>
    <sheetView tabSelected="1" workbookViewId="0">
      <selection activeCell="F40" sqref="F40"/>
    </sheetView>
  </sheetViews>
  <sheetFormatPr defaultRowHeight="15" x14ac:dyDescent="0.25"/>
  <cols>
    <col min="1" max="1" width="37.140625" bestFit="1" customWidth="1"/>
    <col min="2" max="2" width="19.28515625" bestFit="1" customWidth="1"/>
    <col min="3" max="3" width="14" bestFit="1" customWidth="1"/>
  </cols>
  <sheetData>
    <row r="3" spans="1:2" x14ac:dyDescent="0.25">
      <c r="A3" s="8" t="s">
        <v>47</v>
      </c>
    </row>
    <row r="5" spans="1:2" x14ac:dyDescent="0.25">
      <c r="A5" t="s">
        <v>1</v>
      </c>
      <c r="B5" s="1">
        <v>2000000000</v>
      </c>
    </row>
    <row r="6" spans="1:2" x14ac:dyDescent="0.25">
      <c r="A6" t="s">
        <v>2</v>
      </c>
      <c r="B6">
        <v>20</v>
      </c>
    </row>
    <row r="7" spans="1:2" x14ac:dyDescent="0.25">
      <c r="A7" t="s">
        <v>3</v>
      </c>
      <c r="B7">
        <v>5</v>
      </c>
    </row>
    <row r="8" spans="1:2" x14ac:dyDescent="0.25">
      <c r="A8" t="s">
        <v>4</v>
      </c>
      <c r="B8" s="3">
        <v>3.5000000000000003E-2</v>
      </c>
    </row>
    <row r="9" spans="1:2" x14ac:dyDescent="0.25">
      <c r="A9" t="s">
        <v>42</v>
      </c>
      <c r="B9" s="1">
        <f>'KPR 1'!B6</f>
        <v>318483152.95848149</v>
      </c>
    </row>
    <row r="10" spans="1:2" x14ac:dyDescent="0.25">
      <c r="A10" t="s">
        <v>44</v>
      </c>
      <c r="B10" s="1">
        <f>'KPR 1'!C10</f>
        <v>11599194.359661883</v>
      </c>
    </row>
    <row r="11" spans="1:2" x14ac:dyDescent="0.25">
      <c r="A11" s="8" t="s">
        <v>46</v>
      </c>
      <c r="B11" s="9">
        <f>B9</f>
        <v>318483152.95848149</v>
      </c>
    </row>
    <row r="12" spans="1:2" x14ac:dyDescent="0.25">
      <c r="A12" s="8"/>
      <c r="B12" s="9"/>
    </row>
    <row r="13" spans="1:2" x14ac:dyDescent="0.25">
      <c r="A13" s="8" t="s">
        <v>50</v>
      </c>
    </row>
    <row r="14" spans="1:2" x14ac:dyDescent="0.25">
      <c r="A14" t="s">
        <v>48</v>
      </c>
      <c r="B14" s="1">
        <f>'KPR 1'!B5</f>
        <v>1622531491.3787682</v>
      </c>
    </row>
    <row r="15" spans="1:2" x14ac:dyDescent="0.25">
      <c r="A15" t="s">
        <v>2</v>
      </c>
      <c r="B15">
        <v>15</v>
      </c>
    </row>
    <row r="16" spans="1:2" x14ac:dyDescent="0.25">
      <c r="A16" t="s">
        <v>3</v>
      </c>
      <c r="B16">
        <v>5</v>
      </c>
    </row>
    <row r="17" spans="1:3" x14ac:dyDescent="0.25">
      <c r="A17" t="s">
        <v>4</v>
      </c>
      <c r="B17" s="10">
        <v>4.7500000000000001E-2</v>
      </c>
    </row>
    <row r="18" spans="1:3" x14ac:dyDescent="0.25">
      <c r="A18" t="s">
        <v>6</v>
      </c>
      <c r="B18" s="3">
        <v>0.12</v>
      </c>
    </row>
    <row r="19" spans="1:3" x14ac:dyDescent="0.25">
      <c r="A19" t="s">
        <v>42</v>
      </c>
      <c r="B19" s="1">
        <f>'KPR 2'!B6</f>
        <v>338406864.08506757</v>
      </c>
    </row>
    <row r="20" spans="1:3" x14ac:dyDescent="0.25">
      <c r="A20" t="s">
        <v>43</v>
      </c>
      <c r="B20" s="1">
        <f>'KPR 2'!B7</f>
        <v>868654860.3719666</v>
      </c>
    </row>
    <row r="21" spans="1:3" x14ac:dyDescent="0.25">
      <c r="A21" t="s">
        <v>44</v>
      </c>
      <c r="B21" s="1">
        <f>'KPR 2'!C10</f>
        <v>12620567.811899235</v>
      </c>
    </row>
    <row r="22" spans="1:3" x14ac:dyDescent="0.25">
      <c r="A22" t="s">
        <v>45</v>
      </c>
      <c r="B22" s="1">
        <f>'KPR 2'!C70</f>
        <v>17269659.556192312</v>
      </c>
    </row>
    <row r="23" spans="1:3" x14ac:dyDescent="0.25">
      <c r="A23" s="8" t="s">
        <v>46</v>
      </c>
      <c r="B23" s="9">
        <f>B19+B20</f>
        <v>1207061724.4570341</v>
      </c>
    </row>
    <row r="25" spans="1:3" x14ac:dyDescent="0.25">
      <c r="A25" s="8" t="s">
        <v>49</v>
      </c>
    </row>
    <row r="26" spans="1:3" x14ac:dyDescent="0.25">
      <c r="A26" s="11" t="s">
        <v>51</v>
      </c>
      <c r="B26" s="4">
        <v>0.01</v>
      </c>
      <c r="C26" s="5">
        <f>$B$14*B26</f>
        <v>16225314.913787682</v>
      </c>
    </row>
    <row r="27" spans="1:3" x14ac:dyDescent="0.25">
      <c r="A27" t="s">
        <v>52</v>
      </c>
      <c r="B27" s="4">
        <v>0.01</v>
      </c>
      <c r="C27" s="5">
        <f t="shared" ref="C27:C28" si="0">$B$14*B27</f>
        <v>16225314.913787682</v>
      </c>
    </row>
    <row r="28" spans="1:3" x14ac:dyDescent="0.25">
      <c r="A28" t="s">
        <v>53</v>
      </c>
      <c r="B28" s="4">
        <v>0.03</v>
      </c>
      <c r="C28" s="5">
        <f t="shared" si="0"/>
        <v>48675944.741363041</v>
      </c>
    </row>
    <row r="29" spans="1:3" x14ac:dyDescent="0.25">
      <c r="A29" s="12" t="s">
        <v>54</v>
      </c>
      <c r="B29" s="12"/>
      <c r="C29" s="9">
        <f>SUM(C26:C28)</f>
        <v>81126574.568938404</v>
      </c>
    </row>
    <row r="31" spans="1:3" x14ac:dyDescent="0.25">
      <c r="A31" s="8" t="s">
        <v>55</v>
      </c>
    </row>
    <row r="32" spans="1:3" x14ac:dyDescent="0.25">
      <c r="A32" t="s">
        <v>56</v>
      </c>
      <c r="B32" s="5">
        <f>B11</f>
        <v>318483152.95848149</v>
      </c>
    </row>
    <row r="33" spans="1:3" x14ac:dyDescent="0.25">
      <c r="A33" t="s">
        <v>57</v>
      </c>
      <c r="B33" s="5">
        <f>B23</f>
        <v>1207061724.4570341</v>
      </c>
    </row>
    <row r="34" spans="1:3" x14ac:dyDescent="0.25">
      <c r="A34" t="s">
        <v>49</v>
      </c>
      <c r="B34" s="5">
        <f>C29</f>
        <v>81126574.568938404</v>
      </c>
    </row>
    <row r="35" spans="1:3" x14ac:dyDescent="0.25">
      <c r="A35" t="s">
        <v>58</v>
      </c>
      <c r="B35" s="9">
        <f>SUM(B32:B34)</f>
        <v>1606671451.9844542</v>
      </c>
    </row>
    <row r="37" spans="1:3" x14ac:dyDescent="0.25">
      <c r="A37" s="8" t="s">
        <v>59</v>
      </c>
    </row>
    <row r="38" spans="1:3" x14ac:dyDescent="0.25">
      <c r="A38" t="s">
        <v>60</v>
      </c>
      <c r="B38" s="1">
        <f>'Simulasi Tanpa Take Over'!B14</f>
        <v>2201110517.8226333</v>
      </c>
    </row>
    <row r="39" spans="1:3" x14ac:dyDescent="0.25">
      <c r="A39" t="s">
        <v>61</v>
      </c>
      <c r="B39" s="5">
        <f>B35</f>
        <v>1606671451.9844542</v>
      </c>
    </row>
    <row r="40" spans="1:3" x14ac:dyDescent="0.25">
      <c r="A40" t="s">
        <v>62</v>
      </c>
      <c r="B40" s="5">
        <f>B38-B39</f>
        <v>594439065.83817911</v>
      </c>
    </row>
    <row r="41" spans="1:3" x14ac:dyDescent="0.25">
      <c r="A41" t="s">
        <v>63</v>
      </c>
      <c r="B41" s="2">
        <f>B40/B38</f>
        <v>0.27006325262858943</v>
      </c>
    </row>
    <row r="43" spans="1:3" x14ac:dyDescent="0.25">
      <c r="A43" s="8" t="s">
        <v>64</v>
      </c>
    </row>
    <row r="44" spans="1:3" x14ac:dyDescent="0.25">
      <c r="A44" t="s">
        <v>65</v>
      </c>
      <c r="B44" s="5">
        <f>B40</f>
        <v>594439065.83817911</v>
      </c>
    </row>
    <row r="45" spans="1:3" x14ac:dyDescent="0.25">
      <c r="A45" t="s">
        <v>66</v>
      </c>
    </row>
    <row r="46" spans="1:3" x14ac:dyDescent="0.25">
      <c r="A46" t="s">
        <v>67</v>
      </c>
    </row>
    <row r="47" spans="1:3" x14ac:dyDescent="0.25">
      <c r="A47" t="s">
        <v>68</v>
      </c>
      <c r="B47" s="6" t="s">
        <v>69</v>
      </c>
      <c r="C47" s="6" t="s">
        <v>70</v>
      </c>
    </row>
    <row r="48" spans="1:3" x14ac:dyDescent="0.25">
      <c r="A48" t="s">
        <v>44</v>
      </c>
      <c r="B48" s="1">
        <f>'Simulasi Tanpa Take Over'!B12</f>
        <v>11599194.359661883</v>
      </c>
      <c r="C48" s="5">
        <f>B21</f>
        <v>12620567.811899235</v>
      </c>
    </row>
    <row r="49" spans="1:3" x14ac:dyDescent="0.25">
      <c r="A49" t="s">
        <v>45</v>
      </c>
      <c r="B49" s="1">
        <f>'Simulasi Tanpa Take Over'!B13</f>
        <v>19473104.75690509</v>
      </c>
      <c r="C49" s="5">
        <f>B22</f>
        <v>17269659.556192312</v>
      </c>
    </row>
  </sheetData>
  <mergeCells count="1">
    <mergeCell ref="A29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361B-53DA-49AD-9055-94319279E7D9}">
  <dimension ref="A1:G249"/>
  <sheetViews>
    <sheetView topLeftCell="A33" workbookViewId="0">
      <selection activeCell="F70" sqref="A1:XFD1048576"/>
    </sheetView>
  </sheetViews>
  <sheetFormatPr defaultRowHeight="15" x14ac:dyDescent="0.25"/>
  <cols>
    <col min="1" max="1" width="26.85546875" bestFit="1" customWidth="1"/>
    <col min="2" max="2" width="19.28515625" bestFit="1" customWidth="1"/>
    <col min="3" max="3" width="16.5703125" bestFit="1" customWidth="1"/>
    <col min="4" max="4" width="20.42578125" customWidth="1"/>
    <col min="5" max="5" width="21.85546875" bestFit="1" customWidth="1"/>
    <col min="6" max="6" width="19.28515625" bestFit="1" customWidth="1"/>
  </cols>
  <sheetData>
    <row r="1" spans="1:7" x14ac:dyDescent="0.25">
      <c r="A1" t="s">
        <v>7</v>
      </c>
      <c r="B1" s="1">
        <v>2000000000</v>
      </c>
      <c r="E1" t="s">
        <v>19</v>
      </c>
      <c r="F1">
        <v>60</v>
      </c>
      <c r="G1" t="s">
        <v>21</v>
      </c>
    </row>
    <row r="2" spans="1:7" x14ac:dyDescent="0.25">
      <c r="A2" t="s">
        <v>11</v>
      </c>
      <c r="B2">
        <v>240</v>
      </c>
      <c r="C2" t="s">
        <v>21</v>
      </c>
      <c r="E2" t="s">
        <v>20</v>
      </c>
      <c r="F2">
        <v>180</v>
      </c>
      <c r="G2" t="s">
        <v>21</v>
      </c>
    </row>
    <row r="3" spans="1:7" x14ac:dyDescent="0.25">
      <c r="A3" t="s">
        <v>8</v>
      </c>
      <c r="B3" s="3">
        <v>3.5000000000000003E-2</v>
      </c>
    </row>
    <row r="4" spans="1:7" x14ac:dyDescent="0.25">
      <c r="A4" t="s">
        <v>5</v>
      </c>
      <c r="B4" s="2">
        <v>0.12</v>
      </c>
    </row>
    <row r="5" spans="1:7" x14ac:dyDescent="0.25">
      <c r="A5" t="s">
        <v>12</v>
      </c>
      <c r="B5" s="1">
        <f>VLOOKUP(F1,$B$10:$D$69,3,0)</f>
        <v>1622531491.3787682</v>
      </c>
    </row>
    <row r="6" spans="1:7" x14ac:dyDescent="0.25">
      <c r="A6" t="s">
        <v>9</v>
      </c>
      <c r="B6" s="1">
        <f>SUMIF(B10:B69,"&lt;="&amp;$F$1,$F$10:$F$69)</f>
        <v>318483152.95848149</v>
      </c>
    </row>
    <row r="7" spans="1:7" x14ac:dyDescent="0.25">
      <c r="A7" t="s">
        <v>10</v>
      </c>
      <c r="B7" s="5">
        <f>F9-B6</f>
        <v>1882627364.8641517</v>
      </c>
    </row>
    <row r="8" spans="1:7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7" x14ac:dyDescent="0.25">
      <c r="A9" s="7" t="s">
        <v>22</v>
      </c>
      <c r="B9" s="6">
        <v>0</v>
      </c>
      <c r="C9" s="1">
        <f>D9+F9</f>
        <v>4201110517.8226333</v>
      </c>
      <c r="D9" s="5">
        <f>$B$1</f>
        <v>2000000000</v>
      </c>
      <c r="E9" s="5">
        <f>$B$1</f>
        <v>2000000000</v>
      </c>
      <c r="F9" s="1">
        <f>SUMIF($B$10:$B$249,"&lt;="&amp;$B$2,$F$10:$F$249)</f>
        <v>2201110517.8226333</v>
      </c>
    </row>
    <row r="10" spans="1:7" x14ac:dyDescent="0.25">
      <c r="A10" s="7"/>
      <c r="B10" s="6">
        <f>B9+1</f>
        <v>1</v>
      </c>
      <c r="C10" s="1">
        <f>IF(AND($F$1&lt;=$B$2,B10&lt;=$F$1),($B$1*($B$3/12))/(1-1/(1+$B$3/12)^$B$2),($B$5*($B$4/12))/(1-1/(1+$B$4/12)^$F$2))</f>
        <v>11599194.359661883</v>
      </c>
      <c r="D10" s="5">
        <f>D9-E10</f>
        <v>1994234138.9736714</v>
      </c>
      <c r="E10" s="5">
        <f>C10-F10</f>
        <v>5765861.0263285497</v>
      </c>
      <c r="F10" s="1">
        <f>IF(B10&lt;=$F$1,D9*$B$3/12,D9*$B$4/12)</f>
        <v>5833333.333333333</v>
      </c>
    </row>
    <row r="11" spans="1:7" x14ac:dyDescent="0.25">
      <c r="A11" s="7"/>
      <c r="B11" s="6">
        <f t="shared" ref="B11:B74" si="0">B10+1</f>
        <v>2</v>
      </c>
      <c r="C11" s="1">
        <f t="shared" ref="C11:C74" si="1">IF(AND($F$1&lt;=$B$2,B11&lt;=$F$1),($B$1*($B$3/12))/(1-1/(1+$B$3/12)^$B$2),($B$5*($B$4/12))/(1-1/(1+$B$4/12)^$F$2))</f>
        <v>11599194.359661883</v>
      </c>
      <c r="D11" s="5">
        <f t="shared" ref="D11:D74" si="2">D10-E11</f>
        <v>1988451460.8526828</v>
      </c>
      <c r="E11" s="5">
        <f t="shared" ref="E11:E74" si="3">C11-F11</f>
        <v>5782678.1209886735</v>
      </c>
      <c r="F11" s="1">
        <f t="shared" ref="F11:F74" si="4">IF(B11&lt;=$F$1,D10*$B$3/12,D10*$B$4/12)</f>
        <v>5816516.2386732092</v>
      </c>
    </row>
    <row r="12" spans="1:7" x14ac:dyDescent="0.25">
      <c r="A12" s="7"/>
      <c r="B12" s="6">
        <f t="shared" si="0"/>
        <v>3</v>
      </c>
      <c r="C12" s="1">
        <f t="shared" si="1"/>
        <v>11599194.359661883</v>
      </c>
      <c r="D12" s="5">
        <f t="shared" si="2"/>
        <v>1982651916.5871747</v>
      </c>
      <c r="E12" s="5">
        <f t="shared" si="3"/>
        <v>5799544.2655082243</v>
      </c>
      <c r="F12" s="1">
        <f t="shared" si="4"/>
        <v>5799650.0941536585</v>
      </c>
    </row>
    <row r="13" spans="1:7" x14ac:dyDescent="0.25">
      <c r="A13" s="7"/>
      <c r="B13" s="6">
        <f t="shared" si="0"/>
        <v>4</v>
      </c>
      <c r="C13" s="1">
        <f t="shared" si="1"/>
        <v>11599194.359661883</v>
      </c>
      <c r="D13" s="5">
        <f t="shared" si="2"/>
        <v>1976835456.9842253</v>
      </c>
      <c r="E13" s="5">
        <f t="shared" si="3"/>
        <v>5816459.6029492896</v>
      </c>
      <c r="F13" s="1">
        <f t="shared" si="4"/>
        <v>5782734.7567125931</v>
      </c>
    </row>
    <row r="14" spans="1:7" x14ac:dyDescent="0.25">
      <c r="A14" s="7"/>
      <c r="B14" s="6">
        <f t="shared" si="0"/>
        <v>5</v>
      </c>
      <c r="C14" s="1">
        <f t="shared" si="1"/>
        <v>11599194.359661883</v>
      </c>
      <c r="D14" s="5">
        <f t="shared" si="2"/>
        <v>1971002032.7074339</v>
      </c>
      <c r="E14" s="5">
        <f t="shared" si="3"/>
        <v>5833424.2767912252</v>
      </c>
      <c r="F14" s="1">
        <f t="shared" si="4"/>
        <v>5765770.0828706576</v>
      </c>
    </row>
    <row r="15" spans="1:7" x14ac:dyDescent="0.25">
      <c r="A15" s="7"/>
      <c r="B15" s="6">
        <f t="shared" si="0"/>
        <v>6</v>
      </c>
      <c r="C15" s="1">
        <f t="shared" si="1"/>
        <v>11599194.359661883</v>
      </c>
      <c r="D15" s="5">
        <f t="shared" si="2"/>
        <v>1965151594.2765021</v>
      </c>
      <c r="E15" s="5">
        <f t="shared" si="3"/>
        <v>5850438.4309318671</v>
      </c>
      <c r="F15" s="1">
        <f t="shared" si="4"/>
        <v>5748755.9287300156</v>
      </c>
    </row>
    <row r="16" spans="1:7" x14ac:dyDescent="0.25">
      <c r="A16" s="7"/>
      <c r="B16" s="6">
        <f t="shared" si="0"/>
        <v>7</v>
      </c>
      <c r="C16" s="1">
        <f t="shared" si="1"/>
        <v>11599194.359661883</v>
      </c>
      <c r="D16" s="5">
        <f t="shared" si="2"/>
        <v>1959284092.0668135</v>
      </c>
      <c r="E16" s="5">
        <f t="shared" si="3"/>
        <v>5867502.209688751</v>
      </c>
      <c r="F16" s="1">
        <f t="shared" si="4"/>
        <v>5731692.1499731317</v>
      </c>
    </row>
    <row r="17" spans="1:6" x14ac:dyDescent="0.25">
      <c r="A17" s="7"/>
      <c r="B17" s="6">
        <f t="shared" si="0"/>
        <v>8</v>
      </c>
      <c r="C17" s="1">
        <f t="shared" si="1"/>
        <v>11599194.359661883</v>
      </c>
      <c r="D17" s="5">
        <f t="shared" si="2"/>
        <v>1953399476.3090131</v>
      </c>
      <c r="E17" s="5">
        <f t="shared" si="3"/>
        <v>5884615.7578003425</v>
      </c>
      <c r="F17" s="1">
        <f t="shared" si="4"/>
        <v>5714578.6018615402</v>
      </c>
    </row>
    <row r="18" spans="1:6" x14ac:dyDescent="0.25">
      <c r="A18" s="7"/>
      <c r="B18" s="6">
        <f t="shared" si="0"/>
        <v>9</v>
      </c>
      <c r="C18" s="1">
        <f t="shared" si="1"/>
        <v>11599194.359661883</v>
      </c>
      <c r="D18" s="5">
        <f t="shared" si="2"/>
        <v>1947497697.0885859</v>
      </c>
      <c r="E18" s="5">
        <f t="shared" si="3"/>
        <v>5901779.2204272607</v>
      </c>
      <c r="F18" s="1">
        <f t="shared" si="4"/>
        <v>5697415.139234622</v>
      </c>
    </row>
    <row r="19" spans="1:6" x14ac:dyDescent="0.25">
      <c r="A19" s="7"/>
      <c r="B19" s="6">
        <f t="shared" si="0"/>
        <v>10</v>
      </c>
      <c r="C19" s="1">
        <f t="shared" si="1"/>
        <v>11599194.359661883</v>
      </c>
      <c r="D19" s="5">
        <f t="shared" si="2"/>
        <v>1941578704.3454323</v>
      </c>
      <c r="E19" s="5">
        <f t="shared" si="3"/>
        <v>5918992.7431535069</v>
      </c>
      <c r="F19" s="1">
        <f t="shared" si="4"/>
        <v>5680201.6165083759</v>
      </c>
    </row>
    <row r="20" spans="1:6" x14ac:dyDescent="0.25">
      <c r="A20" s="7"/>
      <c r="B20" s="6">
        <f t="shared" si="0"/>
        <v>11</v>
      </c>
      <c r="C20" s="1">
        <f t="shared" si="1"/>
        <v>11599194.359661883</v>
      </c>
      <c r="D20" s="5">
        <f t="shared" si="2"/>
        <v>1935642447.8734446</v>
      </c>
      <c r="E20" s="5">
        <f t="shared" si="3"/>
        <v>5936256.4719877047</v>
      </c>
      <c r="F20" s="1">
        <f t="shared" si="4"/>
        <v>5662937.887674178</v>
      </c>
    </row>
    <row r="21" spans="1:6" x14ac:dyDescent="0.25">
      <c r="A21" s="7"/>
      <c r="B21" s="6">
        <f t="shared" si="0"/>
        <v>12</v>
      </c>
      <c r="C21" s="1">
        <f t="shared" si="1"/>
        <v>11599194.359661883</v>
      </c>
      <c r="D21" s="5">
        <f t="shared" si="2"/>
        <v>1929688877.3200803</v>
      </c>
      <c r="E21" s="5">
        <f t="shared" si="3"/>
        <v>5953570.5533643356</v>
      </c>
      <c r="F21" s="1">
        <f t="shared" si="4"/>
        <v>5645623.8062975472</v>
      </c>
    </row>
    <row r="22" spans="1:6" x14ac:dyDescent="0.25">
      <c r="A22" s="7" t="s">
        <v>23</v>
      </c>
      <c r="B22" s="6">
        <f t="shared" si="0"/>
        <v>13</v>
      </c>
      <c r="C22" s="1">
        <f t="shared" si="1"/>
        <v>11599194.359661883</v>
      </c>
      <c r="D22" s="5">
        <f t="shared" si="2"/>
        <v>1923717942.1859353</v>
      </c>
      <c r="E22" s="5">
        <f t="shared" si="3"/>
        <v>5970935.1341449814</v>
      </c>
      <c r="F22" s="1">
        <f t="shared" si="4"/>
        <v>5628259.2255169014</v>
      </c>
    </row>
    <row r="23" spans="1:6" x14ac:dyDescent="0.25">
      <c r="A23" s="7"/>
      <c r="B23" s="6">
        <f t="shared" si="0"/>
        <v>14</v>
      </c>
      <c r="C23" s="1">
        <f t="shared" si="1"/>
        <v>11599194.359661883</v>
      </c>
      <c r="D23" s="5">
        <f t="shared" si="2"/>
        <v>1917729591.8243158</v>
      </c>
      <c r="E23" s="5">
        <f t="shared" si="3"/>
        <v>5988350.3616195712</v>
      </c>
      <c r="F23" s="1">
        <f t="shared" si="4"/>
        <v>5610843.9980423115</v>
      </c>
    </row>
    <row r="24" spans="1:6" x14ac:dyDescent="0.25">
      <c r="A24" s="7"/>
      <c r="B24" s="6">
        <f t="shared" si="0"/>
        <v>15</v>
      </c>
      <c r="C24" s="1">
        <f t="shared" si="1"/>
        <v>11599194.359661883</v>
      </c>
      <c r="D24" s="5">
        <f t="shared" si="2"/>
        <v>1911723775.4408081</v>
      </c>
      <c r="E24" s="5">
        <f t="shared" si="3"/>
        <v>6005816.3835076271</v>
      </c>
      <c r="F24" s="1">
        <f t="shared" si="4"/>
        <v>5593377.9761542557</v>
      </c>
    </row>
    <row r="25" spans="1:6" x14ac:dyDescent="0.25">
      <c r="A25" s="7"/>
      <c r="B25" s="6">
        <f t="shared" si="0"/>
        <v>16</v>
      </c>
      <c r="C25" s="1">
        <f t="shared" si="1"/>
        <v>11599194.359661883</v>
      </c>
      <c r="D25" s="5">
        <f t="shared" si="2"/>
        <v>1905700442.0928485</v>
      </c>
      <c r="E25" s="5">
        <f t="shared" si="3"/>
        <v>6023333.347959525</v>
      </c>
      <c r="F25" s="1">
        <f t="shared" si="4"/>
        <v>5575861.0117023578</v>
      </c>
    </row>
    <row r="26" spans="1:6" x14ac:dyDescent="0.25">
      <c r="A26" s="7"/>
      <c r="B26" s="6">
        <f t="shared" si="0"/>
        <v>17</v>
      </c>
      <c r="C26" s="1">
        <f t="shared" si="1"/>
        <v>11599194.359661883</v>
      </c>
      <c r="D26" s="5">
        <f t="shared" si="2"/>
        <v>1899659540.6892908</v>
      </c>
      <c r="E26" s="5">
        <f t="shared" si="3"/>
        <v>6040901.4035577411</v>
      </c>
      <c r="F26" s="1">
        <f t="shared" si="4"/>
        <v>5558292.9561041417</v>
      </c>
    </row>
    <row r="27" spans="1:6" x14ac:dyDescent="0.25">
      <c r="A27" s="7"/>
      <c r="B27" s="6">
        <f t="shared" si="0"/>
        <v>18</v>
      </c>
      <c r="C27" s="1">
        <f t="shared" si="1"/>
        <v>11599194.359661883</v>
      </c>
      <c r="D27" s="5">
        <f t="shared" si="2"/>
        <v>1893601019.9899726</v>
      </c>
      <c r="E27" s="5">
        <f t="shared" si="3"/>
        <v>6058520.6993181175</v>
      </c>
      <c r="F27" s="1">
        <f t="shared" si="4"/>
        <v>5540673.6603437653</v>
      </c>
    </row>
    <row r="28" spans="1:6" x14ac:dyDescent="0.25">
      <c r="A28" s="7"/>
      <c r="B28" s="6">
        <f t="shared" si="0"/>
        <v>19</v>
      </c>
      <c r="C28" s="1">
        <f t="shared" si="1"/>
        <v>11599194.359661883</v>
      </c>
      <c r="D28" s="5">
        <f t="shared" si="2"/>
        <v>1887524828.6052814</v>
      </c>
      <c r="E28" s="5">
        <f t="shared" si="3"/>
        <v>6076191.3846911294</v>
      </c>
      <c r="F28" s="1">
        <f t="shared" si="4"/>
        <v>5523002.9749707533</v>
      </c>
    </row>
    <row r="29" spans="1:6" x14ac:dyDescent="0.25">
      <c r="A29" s="7"/>
      <c r="B29" s="6">
        <f t="shared" si="0"/>
        <v>20</v>
      </c>
      <c r="C29" s="1">
        <f t="shared" si="1"/>
        <v>11599194.359661883</v>
      </c>
      <c r="D29" s="5">
        <f t="shared" si="2"/>
        <v>1881430914.9957182</v>
      </c>
      <c r="E29" s="5">
        <f t="shared" si="3"/>
        <v>6093913.6095631449</v>
      </c>
      <c r="F29" s="1">
        <f t="shared" si="4"/>
        <v>5505280.7500987379</v>
      </c>
    </row>
    <row r="30" spans="1:6" x14ac:dyDescent="0.25">
      <c r="A30" s="7"/>
      <c r="B30" s="6">
        <f t="shared" si="0"/>
        <v>21</v>
      </c>
      <c r="C30" s="1">
        <f t="shared" si="1"/>
        <v>11599194.359661883</v>
      </c>
      <c r="D30" s="5">
        <f t="shared" si="2"/>
        <v>1875319227.4714606</v>
      </c>
      <c r="E30" s="5">
        <f t="shared" si="3"/>
        <v>6111687.5242577037</v>
      </c>
      <c r="F30" s="1">
        <f t="shared" si="4"/>
        <v>5487506.8354041791</v>
      </c>
    </row>
    <row r="31" spans="1:6" x14ac:dyDescent="0.25">
      <c r="A31" s="7"/>
      <c r="B31" s="6">
        <f t="shared" si="0"/>
        <v>22</v>
      </c>
      <c r="C31" s="1">
        <f t="shared" si="1"/>
        <v>11599194.359661883</v>
      </c>
      <c r="D31" s="5">
        <f t="shared" si="2"/>
        <v>1869189714.1919239</v>
      </c>
      <c r="E31" s="5">
        <f t="shared" si="3"/>
        <v>6129513.2795367884</v>
      </c>
      <c r="F31" s="1">
        <f t="shared" si="4"/>
        <v>5469681.0801250944</v>
      </c>
    </row>
    <row r="32" spans="1:6" x14ac:dyDescent="0.25">
      <c r="A32" s="7"/>
      <c r="B32" s="6">
        <f t="shared" si="0"/>
        <v>23</v>
      </c>
      <c r="C32" s="1">
        <f t="shared" si="1"/>
        <v>11599194.359661883</v>
      </c>
      <c r="D32" s="5">
        <f t="shared" si="2"/>
        <v>1863042323.1653218</v>
      </c>
      <c r="E32" s="5">
        <f t="shared" si="3"/>
        <v>6147391.0266021043</v>
      </c>
      <c r="F32" s="1">
        <f t="shared" si="4"/>
        <v>5451803.3330597784</v>
      </c>
    </row>
    <row r="33" spans="1:6" x14ac:dyDescent="0.25">
      <c r="A33" s="7"/>
      <c r="B33" s="6">
        <f t="shared" si="0"/>
        <v>24</v>
      </c>
      <c r="C33" s="1">
        <f t="shared" si="1"/>
        <v>11599194.359661883</v>
      </c>
      <c r="D33" s="5">
        <f t="shared" si="2"/>
        <v>1856877002.2482255</v>
      </c>
      <c r="E33" s="5">
        <f t="shared" si="3"/>
        <v>6165320.9170963606</v>
      </c>
      <c r="F33" s="1">
        <f t="shared" si="4"/>
        <v>5433873.4425655222</v>
      </c>
    </row>
    <row r="34" spans="1:6" x14ac:dyDescent="0.25">
      <c r="A34" s="7" t="s">
        <v>24</v>
      </c>
      <c r="B34" s="6">
        <f t="shared" si="0"/>
        <v>25</v>
      </c>
      <c r="C34" s="1">
        <f t="shared" si="1"/>
        <v>11599194.359661883</v>
      </c>
      <c r="D34" s="5">
        <f t="shared" si="2"/>
        <v>1850693699.1451209</v>
      </c>
      <c r="E34" s="5">
        <f t="shared" si="3"/>
        <v>6183303.1031045578</v>
      </c>
      <c r="F34" s="1">
        <f t="shared" si="4"/>
        <v>5415891.2565573249</v>
      </c>
    </row>
    <row r="35" spans="1:6" x14ac:dyDescent="0.25">
      <c r="A35" s="7"/>
      <c r="B35" s="6">
        <f t="shared" si="0"/>
        <v>26</v>
      </c>
      <c r="C35" s="1">
        <f t="shared" si="1"/>
        <v>11599194.359661883</v>
      </c>
      <c r="D35" s="5">
        <f t="shared" si="2"/>
        <v>1844492361.4079657</v>
      </c>
      <c r="E35" s="5">
        <f t="shared" si="3"/>
        <v>6201337.7371552801</v>
      </c>
      <c r="F35" s="1">
        <f t="shared" si="4"/>
        <v>5397856.6225066027</v>
      </c>
    </row>
    <row r="36" spans="1:6" x14ac:dyDescent="0.25">
      <c r="A36" s="7"/>
      <c r="B36" s="6">
        <f t="shared" si="0"/>
        <v>27</v>
      </c>
      <c r="C36" s="1">
        <f t="shared" si="1"/>
        <v>11599194.359661883</v>
      </c>
      <c r="D36" s="5">
        <f t="shared" si="2"/>
        <v>1838272936.4357436</v>
      </c>
      <c r="E36" s="5">
        <f t="shared" si="3"/>
        <v>6219424.9722219827</v>
      </c>
      <c r="F36" s="1">
        <f t="shared" si="4"/>
        <v>5379769.3874399001</v>
      </c>
    </row>
    <row r="37" spans="1:6" x14ac:dyDescent="0.25">
      <c r="A37" s="7"/>
      <c r="B37" s="6">
        <f t="shared" si="0"/>
        <v>28</v>
      </c>
      <c r="C37" s="1">
        <f t="shared" si="1"/>
        <v>11599194.359661883</v>
      </c>
      <c r="D37" s="5">
        <f t="shared" si="2"/>
        <v>1832035371.4740193</v>
      </c>
      <c r="E37" s="5">
        <f t="shared" si="3"/>
        <v>6237564.9617242971</v>
      </c>
      <c r="F37" s="1">
        <f t="shared" si="4"/>
        <v>5361629.3979375856</v>
      </c>
    </row>
    <row r="38" spans="1:6" x14ac:dyDescent="0.25">
      <c r="A38" s="7"/>
      <c r="B38" s="6">
        <f t="shared" si="0"/>
        <v>29</v>
      </c>
      <c r="C38" s="1">
        <f t="shared" si="1"/>
        <v>11599194.359661883</v>
      </c>
      <c r="D38" s="5">
        <f t="shared" si="2"/>
        <v>1825779613.61449</v>
      </c>
      <c r="E38" s="5">
        <f t="shared" si="3"/>
        <v>6255757.8595293257</v>
      </c>
      <c r="F38" s="1">
        <f t="shared" si="4"/>
        <v>5343436.500132557</v>
      </c>
    </row>
    <row r="39" spans="1:6" x14ac:dyDescent="0.25">
      <c r="A39" s="7"/>
      <c r="B39" s="6">
        <f t="shared" si="0"/>
        <v>30</v>
      </c>
      <c r="C39" s="1">
        <f t="shared" si="1"/>
        <v>11599194.359661883</v>
      </c>
      <c r="D39" s="5">
        <f t="shared" si="2"/>
        <v>1819505609.7945371</v>
      </c>
      <c r="E39" s="5">
        <f t="shared" si="3"/>
        <v>6274003.8199529527</v>
      </c>
      <c r="F39" s="1">
        <f t="shared" si="4"/>
        <v>5325190.5397089301</v>
      </c>
    </row>
    <row r="40" spans="1:6" x14ac:dyDescent="0.25">
      <c r="A40" s="7"/>
      <c r="B40" s="6">
        <f t="shared" si="0"/>
        <v>31</v>
      </c>
      <c r="C40" s="1">
        <f t="shared" si="1"/>
        <v>11599194.359661883</v>
      </c>
      <c r="D40" s="5">
        <f t="shared" si="2"/>
        <v>1813213306.7967758</v>
      </c>
      <c r="E40" s="5">
        <f t="shared" si="3"/>
        <v>6292302.997761149</v>
      </c>
      <c r="F40" s="1">
        <f t="shared" si="4"/>
        <v>5306891.3619007338</v>
      </c>
    </row>
    <row r="41" spans="1:6" x14ac:dyDescent="0.25">
      <c r="A41" s="7"/>
      <c r="B41" s="6">
        <f t="shared" si="0"/>
        <v>32</v>
      </c>
      <c r="C41" s="1">
        <f t="shared" si="1"/>
        <v>11599194.359661883</v>
      </c>
      <c r="D41" s="5">
        <f t="shared" si="2"/>
        <v>1806902651.2486045</v>
      </c>
      <c r="E41" s="5">
        <f t="shared" si="3"/>
        <v>6310655.5481712865</v>
      </c>
      <c r="F41" s="1">
        <f t="shared" si="4"/>
        <v>5288538.8114905963</v>
      </c>
    </row>
    <row r="42" spans="1:6" x14ac:dyDescent="0.25">
      <c r="A42" s="7"/>
      <c r="B42" s="6">
        <f t="shared" si="0"/>
        <v>33</v>
      </c>
      <c r="C42" s="1">
        <f t="shared" si="1"/>
        <v>11599194.359661883</v>
      </c>
      <c r="D42" s="5">
        <f t="shared" si="2"/>
        <v>1800573589.6217511</v>
      </c>
      <c r="E42" s="5">
        <f t="shared" si="3"/>
        <v>6329061.6268534521</v>
      </c>
      <c r="F42" s="1">
        <f t="shared" si="4"/>
        <v>5270132.7328084307</v>
      </c>
    </row>
    <row r="43" spans="1:6" x14ac:dyDescent="0.25">
      <c r="A43" s="7"/>
      <c r="B43" s="6">
        <f t="shared" si="0"/>
        <v>34</v>
      </c>
      <c r="C43" s="1">
        <f t="shared" si="1"/>
        <v>11599194.359661883</v>
      </c>
      <c r="D43" s="5">
        <f t="shared" si="2"/>
        <v>1794226068.2318194</v>
      </c>
      <c r="E43" s="5">
        <f t="shared" si="3"/>
        <v>6347521.3899317747</v>
      </c>
      <c r="F43" s="1">
        <f t="shared" si="4"/>
        <v>5251672.969730108</v>
      </c>
    </row>
    <row r="44" spans="1:6" x14ac:dyDescent="0.25">
      <c r="A44" s="7"/>
      <c r="B44" s="6">
        <f t="shared" si="0"/>
        <v>35</v>
      </c>
      <c r="C44" s="1">
        <f t="shared" si="1"/>
        <v>11599194.359661883</v>
      </c>
      <c r="D44" s="5">
        <f t="shared" si="2"/>
        <v>1787860033.2378337</v>
      </c>
      <c r="E44" s="5">
        <f t="shared" si="3"/>
        <v>6366034.9939857423</v>
      </c>
      <c r="F44" s="1">
        <f t="shared" si="4"/>
        <v>5233159.3656761404</v>
      </c>
    </row>
    <row r="45" spans="1:6" x14ac:dyDescent="0.25">
      <c r="A45" s="7"/>
      <c r="B45" s="6">
        <f t="shared" si="0"/>
        <v>36</v>
      </c>
      <c r="C45" s="1">
        <f t="shared" si="1"/>
        <v>11599194.359661883</v>
      </c>
      <c r="D45" s="5">
        <f t="shared" si="2"/>
        <v>1781475430.6417823</v>
      </c>
      <c r="E45" s="5">
        <f t="shared" si="3"/>
        <v>6384602.5960515337</v>
      </c>
      <c r="F45" s="1">
        <f t="shared" si="4"/>
        <v>5214591.763610349</v>
      </c>
    </row>
    <row r="46" spans="1:6" x14ac:dyDescent="0.25">
      <c r="A46" s="7" t="s">
        <v>25</v>
      </c>
      <c r="B46" s="6">
        <f t="shared" si="0"/>
        <v>37</v>
      </c>
      <c r="C46" s="1">
        <f t="shared" si="1"/>
        <v>11599194.359661883</v>
      </c>
      <c r="D46" s="5">
        <f t="shared" si="2"/>
        <v>1775072206.2881589</v>
      </c>
      <c r="E46" s="5">
        <f t="shared" si="3"/>
        <v>6403224.3536233502</v>
      </c>
      <c r="F46" s="1">
        <f t="shared" si="4"/>
        <v>5195970.0060385326</v>
      </c>
    </row>
    <row r="47" spans="1:6" x14ac:dyDescent="0.25">
      <c r="A47" s="7"/>
      <c r="B47" s="6">
        <f t="shared" si="0"/>
        <v>38</v>
      </c>
      <c r="C47" s="1">
        <f t="shared" si="1"/>
        <v>11599194.359661883</v>
      </c>
      <c r="D47" s="5">
        <f t="shared" si="2"/>
        <v>1768650305.8635042</v>
      </c>
      <c r="E47" s="5">
        <f t="shared" si="3"/>
        <v>6421900.424654752</v>
      </c>
      <c r="F47" s="1">
        <f t="shared" si="4"/>
        <v>5177293.9350071307</v>
      </c>
    </row>
    <row r="48" spans="1:6" x14ac:dyDescent="0.25">
      <c r="A48" s="7"/>
      <c r="B48" s="6">
        <f t="shared" si="0"/>
        <v>39</v>
      </c>
      <c r="C48" s="1">
        <f t="shared" si="1"/>
        <v>11599194.359661883</v>
      </c>
      <c r="D48" s="5">
        <f t="shared" si="2"/>
        <v>1762209674.8959441</v>
      </c>
      <c r="E48" s="5">
        <f t="shared" si="3"/>
        <v>6440630.9675599951</v>
      </c>
      <c r="F48" s="1">
        <f t="shared" si="4"/>
        <v>5158563.3921018876</v>
      </c>
    </row>
    <row r="49" spans="1:6" x14ac:dyDescent="0.25">
      <c r="A49" s="7"/>
      <c r="B49" s="6">
        <f t="shared" si="0"/>
        <v>40</v>
      </c>
      <c r="C49" s="1">
        <f t="shared" si="1"/>
        <v>11599194.359661883</v>
      </c>
      <c r="D49" s="5">
        <f t="shared" si="2"/>
        <v>1755750258.7547288</v>
      </c>
      <c r="E49" s="5">
        <f t="shared" si="3"/>
        <v>6459416.1412153784</v>
      </c>
      <c r="F49" s="1">
        <f t="shared" si="4"/>
        <v>5139778.2184465043</v>
      </c>
    </row>
    <row r="50" spans="1:6" x14ac:dyDescent="0.25">
      <c r="A50" s="7"/>
      <c r="B50" s="6">
        <f t="shared" si="0"/>
        <v>41</v>
      </c>
      <c r="C50" s="1">
        <f t="shared" si="1"/>
        <v>11599194.359661883</v>
      </c>
      <c r="D50" s="5">
        <f t="shared" si="2"/>
        <v>1749272002.6497681</v>
      </c>
      <c r="E50" s="5">
        <f t="shared" si="3"/>
        <v>6478256.1049605897</v>
      </c>
      <c r="F50" s="1">
        <f t="shared" si="4"/>
        <v>5120938.2547012931</v>
      </c>
    </row>
    <row r="51" spans="1:6" x14ac:dyDescent="0.25">
      <c r="A51" s="7"/>
      <c r="B51" s="6">
        <f t="shared" si="0"/>
        <v>42</v>
      </c>
      <c r="C51" s="1">
        <f t="shared" si="1"/>
        <v>11599194.359661883</v>
      </c>
      <c r="D51" s="5">
        <f t="shared" si="2"/>
        <v>1742774851.6311681</v>
      </c>
      <c r="E51" s="5">
        <f t="shared" si="3"/>
        <v>6497151.0186000587</v>
      </c>
      <c r="F51" s="1">
        <f t="shared" si="4"/>
        <v>5102043.341061824</v>
      </c>
    </row>
    <row r="52" spans="1:6" x14ac:dyDescent="0.25">
      <c r="A52" s="7"/>
      <c r="B52" s="6">
        <f t="shared" si="0"/>
        <v>43</v>
      </c>
      <c r="C52" s="1">
        <f t="shared" si="1"/>
        <v>11599194.359661883</v>
      </c>
      <c r="D52" s="5">
        <f t="shared" si="2"/>
        <v>1736258750.5887637</v>
      </c>
      <c r="E52" s="5">
        <f t="shared" si="3"/>
        <v>6516101.042404308</v>
      </c>
      <c r="F52" s="1">
        <f t="shared" si="4"/>
        <v>5083093.3172575748</v>
      </c>
    </row>
    <row r="53" spans="1:6" x14ac:dyDescent="0.25">
      <c r="A53" s="7"/>
      <c r="B53" s="6">
        <f t="shared" si="0"/>
        <v>44</v>
      </c>
      <c r="C53" s="1">
        <f t="shared" si="1"/>
        <v>11599194.359661883</v>
      </c>
      <c r="D53" s="5">
        <f t="shared" si="2"/>
        <v>1729723644.2516525</v>
      </c>
      <c r="E53" s="5">
        <f t="shared" si="3"/>
        <v>6535106.3371113213</v>
      </c>
      <c r="F53" s="1">
        <f t="shared" si="4"/>
        <v>5064088.0225505615</v>
      </c>
    </row>
    <row r="54" spans="1:6" x14ac:dyDescent="0.25">
      <c r="A54" s="7"/>
      <c r="B54" s="6">
        <f t="shared" si="0"/>
        <v>45</v>
      </c>
      <c r="C54" s="1">
        <f t="shared" si="1"/>
        <v>11599194.359661883</v>
      </c>
      <c r="D54" s="5">
        <f t="shared" si="2"/>
        <v>1723169477.1877246</v>
      </c>
      <c r="E54" s="5">
        <f t="shared" si="3"/>
        <v>6554167.0639278954</v>
      </c>
      <c r="F54" s="1">
        <f t="shared" si="4"/>
        <v>5045027.2957339874</v>
      </c>
    </row>
    <row r="55" spans="1:6" x14ac:dyDescent="0.25">
      <c r="A55" s="7"/>
      <c r="B55" s="6">
        <f t="shared" si="0"/>
        <v>46</v>
      </c>
      <c r="C55" s="1">
        <f t="shared" si="1"/>
        <v>11599194.359661883</v>
      </c>
      <c r="D55" s="5">
        <f t="shared" si="2"/>
        <v>1716596193.8031936</v>
      </c>
      <c r="E55" s="5">
        <f t="shared" si="3"/>
        <v>6573283.3845310183</v>
      </c>
      <c r="F55" s="1">
        <f t="shared" si="4"/>
        <v>5025910.9751308644</v>
      </c>
    </row>
    <row r="56" spans="1:6" x14ac:dyDescent="0.25">
      <c r="A56" s="7"/>
      <c r="B56" s="6">
        <f t="shared" si="0"/>
        <v>47</v>
      </c>
      <c r="C56" s="1">
        <f t="shared" si="1"/>
        <v>11599194.359661883</v>
      </c>
      <c r="D56" s="5">
        <f t="shared" si="2"/>
        <v>1710003738.3421242</v>
      </c>
      <c r="E56" s="5">
        <f t="shared" si="3"/>
        <v>6592455.4610692346</v>
      </c>
      <c r="F56" s="1">
        <f t="shared" si="4"/>
        <v>5006738.8985926481</v>
      </c>
    </row>
    <row r="57" spans="1:6" x14ac:dyDescent="0.25">
      <c r="A57" s="7"/>
      <c r="B57" s="6">
        <f t="shared" si="0"/>
        <v>48</v>
      </c>
      <c r="C57" s="1">
        <f t="shared" si="1"/>
        <v>11599194.359661883</v>
      </c>
      <c r="D57" s="5">
        <f t="shared" si="2"/>
        <v>1703392054.8859601</v>
      </c>
      <c r="E57" s="5">
        <f t="shared" si="3"/>
        <v>6611683.4561640201</v>
      </c>
      <c r="F57" s="1">
        <f t="shared" si="4"/>
        <v>4987510.9034978626</v>
      </c>
    </row>
    <row r="58" spans="1:6" x14ac:dyDescent="0.25">
      <c r="A58" s="7" t="s">
        <v>26</v>
      </c>
      <c r="B58" s="6">
        <f t="shared" si="0"/>
        <v>49</v>
      </c>
      <c r="C58" s="1">
        <f t="shared" si="1"/>
        <v>11599194.359661883</v>
      </c>
      <c r="D58" s="5">
        <f t="shared" si="2"/>
        <v>1696761087.353049</v>
      </c>
      <c r="E58" s="5">
        <f t="shared" si="3"/>
        <v>6630967.5329111656</v>
      </c>
      <c r="F58" s="1">
        <f t="shared" si="4"/>
        <v>4968226.8267507171</v>
      </c>
    </row>
    <row r="59" spans="1:6" x14ac:dyDescent="0.25">
      <c r="A59" s="7"/>
      <c r="B59" s="6">
        <f t="shared" si="0"/>
        <v>50</v>
      </c>
      <c r="C59" s="1">
        <f t="shared" si="1"/>
        <v>11599194.359661883</v>
      </c>
      <c r="D59" s="5">
        <f t="shared" si="2"/>
        <v>1690110779.4981668</v>
      </c>
      <c r="E59" s="5">
        <f t="shared" si="3"/>
        <v>6650307.8548821555</v>
      </c>
      <c r="F59" s="1">
        <f t="shared" si="4"/>
        <v>4948886.5047797272</v>
      </c>
    </row>
    <row r="60" spans="1:6" x14ac:dyDescent="0.25">
      <c r="A60" s="7"/>
      <c r="B60" s="6">
        <f t="shared" si="0"/>
        <v>51</v>
      </c>
      <c r="C60" s="1">
        <f t="shared" si="1"/>
        <v>11599194.359661883</v>
      </c>
      <c r="D60" s="5">
        <f t="shared" si="2"/>
        <v>1683441074.9120412</v>
      </c>
      <c r="E60" s="5">
        <f t="shared" si="3"/>
        <v>6669704.5861255629</v>
      </c>
      <c r="F60" s="1">
        <f t="shared" si="4"/>
        <v>4929489.7735363198</v>
      </c>
    </row>
    <row r="61" spans="1:6" x14ac:dyDescent="0.25">
      <c r="A61" s="7"/>
      <c r="B61" s="6">
        <f t="shared" si="0"/>
        <v>52</v>
      </c>
      <c r="C61" s="1">
        <f t="shared" si="1"/>
        <v>11599194.359661883</v>
      </c>
      <c r="D61" s="5">
        <f t="shared" si="2"/>
        <v>1676751917.0208728</v>
      </c>
      <c r="E61" s="5">
        <f t="shared" si="3"/>
        <v>6689157.8911684286</v>
      </c>
      <c r="F61" s="1">
        <f t="shared" si="4"/>
        <v>4910036.4684934542</v>
      </c>
    </row>
    <row r="62" spans="1:6" x14ac:dyDescent="0.25">
      <c r="A62" s="7"/>
      <c r="B62" s="6">
        <f t="shared" si="0"/>
        <v>53</v>
      </c>
      <c r="C62" s="1">
        <f t="shared" si="1"/>
        <v>11599194.359661883</v>
      </c>
      <c r="D62" s="5">
        <f t="shared" si="2"/>
        <v>1670043249.0858552</v>
      </c>
      <c r="E62" s="5">
        <f t="shared" si="3"/>
        <v>6708667.9350176696</v>
      </c>
      <c r="F62" s="1">
        <f t="shared" si="4"/>
        <v>4890526.4246442132</v>
      </c>
    </row>
    <row r="63" spans="1:6" x14ac:dyDescent="0.25">
      <c r="A63" s="7"/>
      <c r="B63" s="6">
        <f t="shared" si="0"/>
        <v>54</v>
      </c>
      <c r="C63" s="1">
        <f t="shared" si="1"/>
        <v>11599194.359661883</v>
      </c>
      <c r="D63" s="5">
        <f t="shared" si="2"/>
        <v>1663315014.2026937</v>
      </c>
      <c r="E63" s="5">
        <f t="shared" si="3"/>
        <v>6728234.8831614712</v>
      </c>
      <c r="F63" s="1">
        <f t="shared" si="4"/>
        <v>4870959.4765004115</v>
      </c>
    </row>
    <row r="64" spans="1:6" x14ac:dyDescent="0.25">
      <c r="A64" s="7"/>
      <c r="B64" s="6">
        <f t="shared" si="0"/>
        <v>55</v>
      </c>
      <c r="C64" s="1">
        <f t="shared" si="1"/>
        <v>11599194.359661883</v>
      </c>
      <c r="D64" s="5">
        <f t="shared" si="2"/>
        <v>1656567155.3011229</v>
      </c>
      <c r="E64" s="5">
        <f t="shared" si="3"/>
        <v>6747858.9015706917</v>
      </c>
      <c r="F64" s="1">
        <f t="shared" si="4"/>
        <v>4851335.458091191</v>
      </c>
    </row>
    <row r="65" spans="1:6" x14ac:dyDescent="0.25">
      <c r="A65" s="7"/>
      <c r="B65" s="6">
        <f t="shared" si="0"/>
        <v>56</v>
      </c>
      <c r="C65" s="1">
        <f t="shared" si="1"/>
        <v>11599194.359661883</v>
      </c>
      <c r="D65" s="5">
        <f t="shared" si="2"/>
        <v>1649799615.1444225</v>
      </c>
      <c r="E65" s="5">
        <f t="shared" si="3"/>
        <v>6767540.156700274</v>
      </c>
      <c r="F65" s="1">
        <f t="shared" si="4"/>
        <v>4831654.2029616088</v>
      </c>
    </row>
    <row r="66" spans="1:6" x14ac:dyDescent="0.25">
      <c r="A66" s="7"/>
      <c r="B66" s="6">
        <f t="shared" si="0"/>
        <v>57</v>
      </c>
      <c r="C66" s="1">
        <f t="shared" si="1"/>
        <v>11599194.359661883</v>
      </c>
      <c r="D66" s="5">
        <f t="shared" si="2"/>
        <v>1643012336.3289318</v>
      </c>
      <c r="E66" s="5">
        <f t="shared" si="3"/>
        <v>6787278.81549065</v>
      </c>
      <c r="F66" s="1">
        <f t="shared" si="4"/>
        <v>4811915.5441712327</v>
      </c>
    </row>
    <row r="67" spans="1:6" x14ac:dyDescent="0.25">
      <c r="A67" s="7"/>
      <c r="B67" s="6">
        <f t="shared" si="0"/>
        <v>58</v>
      </c>
      <c r="C67" s="1">
        <f t="shared" si="1"/>
        <v>11599194.359661883</v>
      </c>
      <c r="D67" s="5">
        <f t="shared" si="2"/>
        <v>1636205261.2835627</v>
      </c>
      <c r="E67" s="5">
        <f t="shared" si="3"/>
        <v>6807075.0453691641</v>
      </c>
      <c r="F67" s="1">
        <f t="shared" si="4"/>
        <v>4792119.3142927187</v>
      </c>
    </row>
    <row r="68" spans="1:6" x14ac:dyDescent="0.25">
      <c r="A68" s="7"/>
      <c r="B68" s="6">
        <f t="shared" si="0"/>
        <v>59</v>
      </c>
      <c r="C68" s="1">
        <f t="shared" si="1"/>
        <v>11599194.359661883</v>
      </c>
      <c r="D68" s="5">
        <f t="shared" si="2"/>
        <v>1629378332.2693112</v>
      </c>
      <c r="E68" s="5">
        <f t="shared" si="3"/>
        <v>6826929.0142514911</v>
      </c>
      <c r="F68" s="1">
        <f t="shared" si="4"/>
        <v>4772265.3454103917</v>
      </c>
    </row>
    <row r="69" spans="1:6" x14ac:dyDescent="0.25">
      <c r="A69" s="7"/>
      <c r="B69" s="6">
        <f t="shared" si="0"/>
        <v>60</v>
      </c>
      <c r="C69" s="1">
        <f t="shared" si="1"/>
        <v>11599194.359661883</v>
      </c>
      <c r="D69" s="5">
        <f t="shared" si="2"/>
        <v>1622531491.3787682</v>
      </c>
      <c r="E69" s="5">
        <f t="shared" si="3"/>
        <v>6846840.8905430576</v>
      </c>
      <c r="F69" s="1">
        <f t="shared" si="4"/>
        <v>4752353.4691188252</v>
      </c>
    </row>
    <row r="70" spans="1:6" x14ac:dyDescent="0.25">
      <c r="A70" s="7" t="s">
        <v>27</v>
      </c>
      <c r="B70" s="6">
        <f t="shared" si="0"/>
        <v>61</v>
      </c>
      <c r="C70" s="1">
        <f t="shared" si="1"/>
        <v>19473104.75690509</v>
      </c>
      <c r="D70" s="5">
        <f t="shared" si="2"/>
        <v>1619283701.5356507</v>
      </c>
      <c r="E70" s="5">
        <f t="shared" si="3"/>
        <v>3247789.8431174103</v>
      </c>
      <c r="F70" s="1">
        <f t="shared" si="4"/>
        <v>16225314.91378768</v>
      </c>
    </row>
    <row r="71" spans="1:6" x14ac:dyDescent="0.25">
      <c r="A71" s="7"/>
      <c r="B71" s="6">
        <f t="shared" si="0"/>
        <v>62</v>
      </c>
      <c r="C71" s="1">
        <f t="shared" si="1"/>
        <v>19473104.75690509</v>
      </c>
      <c r="D71" s="5">
        <f t="shared" si="2"/>
        <v>1616003433.7941022</v>
      </c>
      <c r="E71" s="5">
        <f t="shared" si="3"/>
        <v>3280267.7415485848</v>
      </c>
      <c r="F71" s="1">
        <f t="shared" si="4"/>
        <v>16192837.015356505</v>
      </c>
    </row>
    <row r="72" spans="1:6" x14ac:dyDescent="0.25">
      <c r="A72" s="7"/>
      <c r="B72" s="6">
        <f t="shared" si="0"/>
        <v>63</v>
      </c>
      <c r="C72" s="1">
        <f t="shared" si="1"/>
        <v>19473104.75690509</v>
      </c>
      <c r="D72" s="5">
        <f t="shared" si="2"/>
        <v>1612690363.375138</v>
      </c>
      <c r="E72" s="5">
        <f t="shared" si="3"/>
        <v>3313070.4189640693</v>
      </c>
      <c r="F72" s="1">
        <f t="shared" si="4"/>
        <v>16160034.337941021</v>
      </c>
    </row>
    <row r="73" spans="1:6" x14ac:dyDescent="0.25">
      <c r="A73" s="7"/>
      <c r="B73" s="6">
        <f t="shared" si="0"/>
        <v>64</v>
      </c>
      <c r="C73" s="1">
        <f t="shared" si="1"/>
        <v>19473104.75690509</v>
      </c>
      <c r="D73" s="5">
        <f t="shared" si="2"/>
        <v>1609344162.2519844</v>
      </c>
      <c r="E73" s="5">
        <f t="shared" si="3"/>
        <v>3346201.1231537107</v>
      </c>
      <c r="F73" s="1">
        <f t="shared" si="4"/>
        <v>16126903.633751379</v>
      </c>
    </row>
    <row r="74" spans="1:6" x14ac:dyDescent="0.25">
      <c r="A74" s="7"/>
      <c r="B74" s="6">
        <f t="shared" si="0"/>
        <v>65</v>
      </c>
      <c r="C74" s="1">
        <f t="shared" si="1"/>
        <v>19473104.75690509</v>
      </c>
      <c r="D74" s="5">
        <f t="shared" si="2"/>
        <v>1605964499.117599</v>
      </c>
      <c r="E74" s="5">
        <f t="shared" si="3"/>
        <v>3379663.1343852468</v>
      </c>
      <c r="F74" s="1">
        <f t="shared" si="4"/>
        <v>16093441.622519843</v>
      </c>
    </row>
    <row r="75" spans="1:6" x14ac:dyDescent="0.25">
      <c r="A75" s="7"/>
      <c r="B75" s="6">
        <f t="shared" ref="B75:B138" si="5">B74+1</f>
        <v>66</v>
      </c>
      <c r="C75" s="1">
        <f t="shared" ref="C75:C138" si="6">IF(AND($F$1&lt;=$B$2,B75&lt;=$F$1),($B$1*($B$3/12))/(1-1/(1+$B$3/12)^$B$2),($B$5*($B$4/12))/(1-1/(1+$B$4/12)^$F$2))</f>
        <v>19473104.75690509</v>
      </c>
      <c r="D75" s="5">
        <f t="shared" ref="D75:D138" si="7">D74-E75</f>
        <v>1602551039.3518698</v>
      </c>
      <c r="E75" s="5">
        <f t="shared" ref="E75:E138" si="8">C75-F75</f>
        <v>3413459.7657291014</v>
      </c>
      <c r="F75" s="1">
        <f t="shared" ref="F75:F138" si="9">IF(B75&lt;=$F$1,D74*$B$3/12,D74*$B$4/12)</f>
        <v>16059644.991175989</v>
      </c>
    </row>
    <row r="76" spans="1:6" x14ac:dyDescent="0.25">
      <c r="A76" s="7"/>
      <c r="B76" s="6">
        <f t="shared" si="5"/>
        <v>67</v>
      </c>
      <c r="C76" s="1">
        <f t="shared" si="6"/>
        <v>19473104.75690509</v>
      </c>
      <c r="D76" s="5">
        <f t="shared" si="7"/>
        <v>1599103444.9884834</v>
      </c>
      <c r="E76" s="5">
        <f t="shared" si="8"/>
        <v>3447594.3633863907</v>
      </c>
      <c r="F76" s="1">
        <f t="shared" si="9"/>
        <v>16025510.393518699</v>
      </c>
    </row>
    <row r="77" spans="1:6" x14ac:dyDescent="0.25">
      <c r="A77" s="7"/>
      <c r="B77" s="6">
        <f t="shared" si="5"/>
        <v>68</v>
      </c>
      <c r="C77" s="1">
        <f t="shared" si="6"/>
        <v>19473104.75690509</v>
      </c>
      <c r="D77" s="5">
        <f t="shared" si="7"/>
        <v>1595621374.6814632</v>
      </c>
      <c r="E77" s="5">
        <f t="shared" si="8"/>
        <v>3482070.3070202563</v>
      </c>
      <c r="F77" s="1">
        <f t="shared" si="9"/>
        <v>15991034.449884834</v>
      </c>
    </row>
    <row r="78" spans="1:6" x14ac:dyDescent="0.25">
      <c r="A78" s="7"/>
      <c r="B78" s="6">
        <f t="shared" si="5"/>
        <v>69</v>
      </c>
      <c r="C78" s="1">
        <f t="shared" si="6"/>
        <v>19473104.75690509</v>
      </c>
      <c r="D78" s="5">
        <f t="shared" si="7"/>
        <v>1592104483.6713729</v>
      </c>
      <c r="E78" s="5">
        <f t="shared" si="8"/>
        <v>3516891.0100904591</v>
      </c>
      <c r="F78" s="1">
        <f t="shared" si="9"/>
        <v>15956213.746814631</v>
      </c>
    </row>
    <row r="79" spans="1:6" x14ac:dyDescent="0.25">
      <c r="A79" s="7"/>
      <c r="B79" s="6">
        <f t="shared" si="5"/>
        <v>70</v>
      </c>
      <c r="C79" s="1">
        <f t="shared" si="6"/>
        <v>19473104.75690509</v>
      </c>
      <c r="D79" s="5">
        <f t="shared" si="7"/>
        <v>1588552423.7511816</v>
      </c>
      <c r="E79" s="5">
        <f t="shared" si="8"/>
        <v>3552059.9201913606</v>
      </c>
      <c r="F79" s="1">
        <f t="shared" si="9"/>
        <v>15921044.836713729</v>
      </c>
    </row>
    <row r="80" spans="1:6" x14ac:dyDescent="0.25">
      <c r="A80" s="7"/>
      <c r="B80" s="6">
        <f t="shared" si="5"/>
        <v>71</v>
      </c>
      <c r="C80" s="1">
        <f t="shared" si="6"/>
        <v>19473104.75690509</v>
      </c>
      <c r="D80" s="5">
        <f t="shared" si="7"/>
        <v>1584964843.2317884</v>
      </c>
      <c r="E80" s="5">
        <f t="shared" si="8"/>
        <v>3587580.5193932746</v>
      </c>
      <c r="F80" s="1">
        <f t="shared" si="9"/>
        <v>15885524.237511816</v>
      </c>
    </row>
    <row r="81" spans="1:6" x14ac:dyDescent="0.25">
      <c r="A81" s="7"/>
      <c r="B81" s="6">
        <f t="shared" si="5"/>
        <v>72</v>
      </c>
      <c r="C81" s="1">
        <f t="shared" si="6"/>
        <v>19473104.75690509</v>
      </c>
      <c r="D81" s="5">
        <f t="shared" si="7"/>
        <v>1581341386.9072013</v>
      </c>
      <c r="E81" s="5">
        <f t="shared" si="8"/>
        <v>3623456.3245872073</v>
      </c>
      <c r="F81" s="1">
        <f t="shared" si="9"/>
        <v>15849648.432317883</v>
      </c>
    </row>
    <row r="82" spans="1:6" x14ac:dyDescent="0.25">
      <c r="A82" s="7" t="s">
        <v>28</v>
      </c>
      <c r="B82" s="6">
        <f t="shared" si="5"/>
        <v>73</v>
      </c>
      <c r="C82" s="1">
        <f t="shared" si="6"/>
        <v>19473104.75690509</v>
      </c>
      <c r="D82" s="5">
        <f t="shared" si="7"/>
        <v>1577681696.0193682</v>
      </c>
      <c r="E82" s="5">
        <f t="shared" si="8"/>
        <v>3659690.8878330775</v>
      </c>
      <c r="F82" s="1">
        <f t="shared" si="9"/>
        <v>15813413.869072013</v>
      </c>
    </row>
    <row r="83" spans="1:6" x14ac:dyDescent="0.25">
      <c r="A83" s="7"/>
      <c r="B83" s="6">
        <f t="shared" si="5"/>
        <v>74</v>
      </c>
      <c r="C83" s="1">
        <f t="shared" si="6"/>
        <v>19473104.75690509</v>
      </c>
      <c r="D83" s="5">
        <f t="shared" si="7"/>
        <v>1573985408.2226567</v>
      </c>
      <c r="E83" s="5">
        <f t="shared" si="8"/>
        <v>3696287.7967114095</v>
      </c>
      <c r="F83" s="1">
        <f t="shared" si="9"/>
        <v>15776816.960193681</v>
      </c>
    </row>
    <row r="84" spans="1:6" x14ac:dyDescent="0.25">
      <c r="A84" s="7"/>
      <c r="B84" s="6">
        <f t="shared" si="5"/>
        <v>75</v>
      </c>
      <c r="C84" s="1">
        <f t="shared" si="6"/>
        <v>19473104.75690509</v>
      </c>
      <c r="D84" s="5">
        <f t="shared" si="7"/>
        <v>1570252157.5479782</v>
      </c>
      <c r="E84" s="5">
        <f t="shared" si="8"/>
        <v>3733250.6746785231</v>
      </c>
      <c r="F84" s="1">
        <f t="shared" si="9"/>
        <v>15739854.082226567</v>
      </c>
    </row>
    <row r="85" spans="1:6" x14ac:dyDescent="0.25">
      <c r="A85" s="7"/>
      <c r="B85" s="6">
        <f t="shared" si="5"/>
        <v>76</v>
      </c>
      <c r="C85" s="1">
        <f t="shared" si="6"/>
        <v>19473104.75690509</v>
      </c>
      <c r="D85" s="5">
        <f t="shared" si="7"/>
        <v>1566481574.3665528</v>
      </c>
      <c r="E85" s="5">
        <f t="shared" si="8"/>
        <v>3770583.1814253088</v>
      </c>
      <c r="F85" s="1">
        <f t="shared" si="9"/>
        <v>15702521.575479781</v>
      </c>
    </row>
    <row r="86" spans="1:6" x14ac:dyDescent="0.25">
      <c r="A86" s="7"/>
      <c r="B86" s="6">
        <f t="shared" si="5"/>
        <v>77</v>
      </c>
      <c r="C86" s="1">
        <f t="shared" si="6"/>
        <v>19473104.75690509</v>
      </c>
      <c r="D86" s="5">
        <f t="shared" si="7"/>
        <v>1562673285.3533132</v>
      </c>
      <c r="E86" s="5">
        <f t="shared" si="8"/>
        <v>3808289.0132395606</v>
      </c>
      <c r="F86" s="1">
        <f t="shared" si="9"/>
        <v>15664815.743665529</v>
      </c>
    </row>
    <row r="87" spans="1:6" x14ac:dyDescent="0.25">
      <c r="A87" s="7"/>
      <c r="B87" s="6">
        <f t="shared" si="5"/>
        <v>78</v>
      </c>
      <c r="C87" s="1">
        <f t="shared" si="6"/>
        <v>19473104.75690509</v>
      </c>
      <c r="D87" s="5">
        <f t="shared" si="7"/>
        <v>1558826913.4499412</v>
      </c>
      <c r="E87" s="5">
        <f t="shared" si="8"/>
        <v>3846371.9033719581</v>
      </c>
      <c r="F87" s="1">
        <f t="shared" si="9"/>
        <v>15626732.853533132</v>
      </c>
    </row>
    <row r="88" spans="1:6" x14ac:dyDescent="0.25">
      <c r="A88" s="7"/>
      <c r="B88" s="6">
        <f t="shared" si="5"/>
        <v>79</v>
      </c>
      <c r="C88" s="1">
        <f t="shared" si="6"/>
        <v>19473104.75690509</v>
      </c>
      <c r="D88" s="5">
        <f t="shared" si="7"/>
        <v>1554942077.8275354</v>
      </c>
      <c r="E88" s="5">
        <f t="shared" si="8"/>
        <v>3884835.6224056799</v>
      </c>
      <c r="F88" s="1">
        <f t="shared" si="9"/>
        <v>15588269.13449941</v>
      </c>
    </row>
    <row r="89" spans="1:6" x14ac:dyDescent="0.25">
      <c r="A89" s="7"/>
      <c r="B89" s="6">
        <f t="shared" si="5"/>
        <v>80</v>
      </c>
      <c r="C89" s="1">
        <f t="shared" si="6"/>
        <v>19473104.75690509</v>
      </c>
      <c r="D89" s="5">
        <f t="shared" si="7"/>
        <v>1551018393.8489056</v>
      </c>
      <c r="E89" s="5">
        <f t="shared" si="8"/>
        <v>3923683.9786297362</v>
      </c>
      <c r="F89" s="1">
        <f t="shared" si="9"/>
        <v>15549420.778275354</v>
      </c>
    </row>
    <row r="90" spans="1:6" x14ac:dyDescent="0.25">
      <c r="A90" s="7"/>
      <c r="B90" s="6">
        <f t="shared" si="5"/>
        <v>81</v>
      </c>
      <c r="C90" s="1">
        <f t="shared" si="6"/>
        <v>19473104.75690509</v>
      </c>
      <c r="D90" s="5">
        <f t="shared" si="7"/>
        <v>1547055473.0304894</v>
      </c>
      <c r="E90" s="5">
        <f t="shared" si="8"/>
        <v>3962920.8184160348</v>
      </c>
      <c r="F90" s="1">
        <f t="shared" si="9"/>
        <v>15510183.938489055</v>
      </c>
    </row>
    <row r="91" spans="1:6" x14ac:dyDescent="0.25">
      <c r="A91" s="7"/>
      <c r="B91" s="6">
        <f t="shared" si="5"/>
        <v>82</v>
      </c>
      <c r="C91" s="1">
        <f t="shared" si="6"/>
        <v>19473104.75690509</v>
      </c>
      <c r="D91" s="5">
        <f t="shared" si="7"/>
        <v>1543052923.0038893</v>
      </c>
      <c r="E91" s="5">
        <f t="shared" si="8"/>
        <v>4002550.0266001951</v>
      </c>
      <c r="F91" s="1">
        <f t="shared" si="9"/>
        <v>15470554.730304895</v>
      </c>
    </row>
    <row r="92" spans="1:6" x14ac:dyDescent="0.25">
      <c r="A92" s="7"/>
      <c r="B92" s="6">
        <f t="shared" si="5"/>
        <v>83</v>
      </c>
      <c r="C92" s="1">
        <f t="shared" si="6"/>
        <v>19473104.75690509</v>
      </c>
      <c r="D92" s="5">
        <f t="shared" si="7"/>
        <v>1539010347.4770231</v>
      </c>
      <c r="E92" s="5">
        <f t="shared" si="8"/>
        <v>4042575.5268661957</v>
      </c>
      <c r="F92" s="1">
        <f t="shared" si="9"/>
        <v>15430529.230038894</v>
      </c>
    </row>
    <row r="93" spans="1:6" x14ac:dyDescent="0.25">
      <c r="A93" s="7"/>
      <c r="B93" s="6">
        <f t="shared" si="5"/>
        <v>84</v>
      </c>
      <c r="C93" s="1">
        <f t="shared" si="6"/>
        <v>19473104.75690509</v>
      </c>
      <c r="D93" s="5">
        <f t="shared" si="7"/>
        <v>1534927346.1948884</v>
      </c>
      <c r="E93" s="5">
        <f t="shared" si="8"/>
        <v>4083001.2821348589</v>
      </c>
      <c r="F93" s="1">
        <f t="shared" si="9"/>
        <v>15390103.474770231</v>
      </c>
    </row>
    <row r="94" spans="1:6" x14ac:dyDescent="0.25">
      <c r="A94" s="7" t="s">
        <v>29</v>
      </c>
      <c r="B94" s="6">
        <f t="shared" si="5"/>
        <v>85</v>
      </c>
      <c r="C94" s="1">
        <f t="shared" si="6"/>
        <v>19473104.75690509</v>
      </c>
      <c r="D94" s="5">
        <f t="shared" si="7"/>
        <v>1530803514.8999321</v>
      </c>
      <c r="E94" s="5">
        <f t="shared" si="8"/>
        <v>4123831.2949562054</v>
      </c>
      <c r="F94" s="1">
        <f t="shared" si="9"/>
        <v>15349273.461948885</v>
      </c>
    </row>
    <row r="95" spans="1:6" x14ac:dyDescent="0.25">
      <c r="A95" s="7"/>
      <c r="B95" s="6">
        <f t="shared" si="5"/>
        <v>86</v>
      </c>
      <c r="C95" s="1">
        <f t="shared" si="6"/>
        <v>19473104.75690509</v>
      </c>
      <c r="D95" s="5">
        <f t="shared" si="7"/>
        <v>1526638445.2920263</v>
      </c>
      <c r="E95" s="5">
        <f t="shared" si="8"/>
        <v>4165069.6079057697</v>
      </c>
      <c r="F95" s="1">
        <f t="shared" si="9"/>
        <v>15308035.14899932</v>
      </c>
    </row>
    <row r="96" spans="1:6" x14ac:dyDescent="0.25">
      <c r="A96" s="7"/>
      <c r="B96" s="6">
        <f t="shared" si="5"/>
        <v>87</v>
      </c>
      <c r="C96" s="1">
        <f t="shared" si="6"/>
        <v>19473104.75690509</v>
      </c>
      <c r="D96" s="5">
        <f t="shared" si="7"/>
        <v>1522431724.9880414</v>
      </c>
      <c r="E96" s="5">
        <f t="shared" si="8"/>
        <v>4206720.3039848264</v>
      </c>
      <c r="F96" s="1">
        <f t="shared" si="9"/>
        <v>15266384.452920264</v>
      </c>
    </row>
    <row r="97" spans="1:6" x14ac:dyDescent="0.25">
      <c r="A97" s="7"/>
      <c r="B97" s="6">
        <f t="shared" si="5"/>
        <v>88</v>
      </c>
      <c r="C97" s="1">
        <f t="shared" si="6"/>
        <v>19473104.75690509</v>
      </c>
      <c r="D97" s="5">
        <f t="shared" si="7"/>
        <v>1518182937.4810166</v>
      </c>
      <c r="E97" s="5">
        <f t="shared" si="8"/>
        <v>4248787.5070246775</v>
      </c>
      <c r="F97" s="1">
        <f t="shared" si="9"/>
        <v>15224317.249880413</v>
      </c>
    </row>
    <row r="98" spans="1:6" x14ac:dyDescent="0.25">
      <c r="A98" s="7"/>
      <c r="B98" s="6">
        <f t="shared" si="5"/>
        <v>89</v>
      </c>
      <c r="C98" s="1">
        <f t="shared" si="6"/>
        <v>19473104.75690509</v>
      </c>
      <c r="D98" s="5">
        <f t="shared" si="7"/>
        <v>1513891662.0989218</v>
      </c>
      <c r="E98" s="5">
        <f t="shared" si="8"/>
        <v>4291275.3820949234</v>
      </c>
      <c r="F98" s="1">
        <f t="shared" si="9"/>
        <v>15181829.374810167</v>
      </c>
    </row>
    <row r="99" spans="1:6" x14ac:dyDescent="0.25">
      <c r="A99" s="7"/>
      <c r="B99" s="6">
        <f t="shared" si="5"/>
        <v>90</v>
      </c>
      <c r="C99" s="1">
        <f t="shared" si="6"/>
        <v>19473104.75690509</v>
      </c>
      <c r="D99" s="5">
        <f t="shared" si="7"/>
        <v>1509557473.963006</v>
      </c>
      <c r="E99" s="5">
        <f t="shared" si="8"/>
        <v>4334188.1359158717</v>
      </c>
      <c r="F99" s="1">
        <f t="shared" si="9"/>
        <v>15138916.620989218</v>
      </c>
    </row>
    <row r="100" spans="1:6" x14ac:dyDescent="0.25">
      <c r="A100" s="7"/>
      <c r="B100" s="6">
        <f t="shared" si="5"/>
        <v>91</v>
      </c>
      <c r="C100" s="1">
        <f t="shared" si="6"/>
        <v>19473104.75690509</v>
      </c>
      <c r="D100" s="5">
        <f t="shared" si="7"/>
        <v>1505179943.9457309</v>
      </c>
      <c r="E100" s="5">
        <f t="shared" si="8"/>
        <v>4377530.0172750317</v>
      </c>
      <c r="F100" s="1">
        <f t="shared" si="9"/>
        <v>15095574.739630058</v>
      </c>
    </row>
    <row r="101" spans="1:6" x14ac:dyDescent="0.25">
      <c r="A101" s="7"/>
      <c r="B101" s="6">
        <f t="shared" si="5"/>
        <v>92</v>
      </c>
      <c r="C101" s="1">
        <f t="shared" si="6"/>
        <v>19473104.75690509</v>
      </c>
      <c r="D101" s="5">
        <f t="shared" si="7"/>
        <v>1500758638.6282833</v>
      </c>
      <c r="E101" s="5">
        <f t="shared" si="8"/>
        <v>4421305.3174477797</v>
      </c>
      <c r="F101" s="1">
        <f t="shared" si="9"/>
        <v>15051799.43945731</v>
      </c>
    </row>
    <row r="102" spans="1:6" x14ac:dyDescent="0.25">
      <c r="A102" s="7"/>
      <c r="B102" s="6">
        <f t="shared" si="5"/>
        <v>93</v>
      </c>
      <c r="C102" s="1">
        <f t="shared" si="6"/>
        <v>19473104.75690509</v>
      </c>
      <c r="D102" s="5">
        <f t="shared" si="7"/>
        <v>1496293120.2576611</v>
      </c>
      <c r="E102" s="5">
        <f t="shared" si="8"/>
        <v>4465518.3706222586</v>
      </c>
      <c r="F102" s="1">
        <f t="shared" si="9"/>
        <v>15007586.386282831</v>
      </c>
    </row>
    <row r="103" spans="1:6" x14ac:dyDescent="0.25">
      <c r="A103" s="7"/>
      <c r="B103" s="6">
        <f t="shared" si="5"/>
        <v>94</v>
      </c>
      <c r="C103" s="1">
        <f t="shared" si="6"/>
        <v>19473104.75690509</v>
      </c>
      <c r="D103" s="5">
        <f t="shared" si="7"/>
        <v>1491782946.7033327</v>
      </c>
      <c r="E103" s="5">
        <f t="shared" si="8"/>
        <v>4510173.5543284807</v>
      </c>
      <c r="F103" s="1">
        <f t="shared" si="9"/>
        <v>14962931.202576609</v>
      </c>
    </row>
    <row r="104" spans="1:6" x14ac:dyDescent="0.25">
      <c r="A104" s="7"/>
      <c r="B104" s="6">
        <f t="shared" si="5"/>
        <v>95</v>
      </c>
      <c r="C104" s="1">
        <f t="shared" si="6"/>
        <v>19473104.75690509</v>
      </c>
      <c r="D104" s="5">
        <f t="shared" si="7"/>
        <v>1487227671.413461</v>
      </c>
      <c r="E104" s="5">
        <f t="shared" si="8"/>
        <v>4555275.2898717634</v>
      </c>
      <c r="F104" s="1">
        <f t="shared" si="9"/>
        <v>14917829.467033327</v>
      </c>
    </row>
    <row r="105" spans="1:6" x14ac:dyDescent="0.25">
      <c r="A105" s="7"/>
      <c r="B105" s="6">
        <f t="shared" si="5"/>
        <v>96</v>
      </c>
      <c r="C105" s="1">
        <f t="shared" si="6"/>
        <v>19473104.75690509</v>
      </c>
      <c r="D105" s="5">
        <f t="shared" si="7"/>
        <v>1482626843.3706906</v>
      </c>
      <c r="E105" s="5">
        <f t="shared" si="8"/>
        <v>4600828.0427704807</v>
      </c>
      <c r="F105" s="1">
        <f t="shared" si="9"/>
        <v>14872276.714134609</v>
      </c>
    </row>
    <row r="106" spans="1:6" x14ac:dyDescent="0.25">
      <c r="A106" s="7" t="s">
        <v>30</v>
      </c>
      <c r="B106" s="6">
        <f t="shared" si="5"/>
        <v>97</v>
      </c>
      <c r="C106" s="1">
        <f t="shared" si="6"/>
        <v>19473104.75690509</v>
      </c>
      <c r="D106" s="5">
        <f t="shared" si="7"/>
        <v>1477980007.0474925</v>
      </c>
      <c r="E106" s="5">
        <f t="shared" si="8"/>
        <v>4646836.3231981862</v>
      </c>
      <c r="F106" s="1">
        <f t="shared" si="9"/>
        <v>14826268.433706904</v>
      </c>
    </row>
    <row r="107" spans="1:6" x14ac:dyDescent="0.25">
      <c r="A107" s="7"/>
      <c r="B107" s="6">
        <f t="shared" si="5"/>
        <v>98</v>
      </c>
      <c r="C107" s="1">
        <f t="shared" si="6"/>
        <v>19473104.75690509</v>
      </c>
      <c r="D107" s="5">
        <f t="shared" si="7"/>
        <v>1473286702.3610623</v>
      </c>
      <c r="E107" s="5">
        <f t="shared" si="8"/>
        <v>4693304.6864301655</v>
      </c>
      <c r="F107" s="1">
        <f t="shared" si="9"/>
        <v>14779800.070474925</v>
      </c>
    </row>
    <row r="108" spans="1:6" x14ac:dyDescent="0.25">
      <c r="A108" s="7"/>
      <c r="B108" s="6">
        <f t="shared" si="5"/>
        <v>99</v>
      </c>
      <c r="C108" s="1">
        <f t="shared" si="6"/>
        <v>19473104.75690509</v>
      </c>
      <c r="D108" s="5">
        <f t="shared" si="7"/>
        <v>1468546464.6277678</v>
      </c>
      <c r="E108" s="5">
        <f t="shared" si="8"/>
        <v>4740237.7332944684</v>
      </c>
      <c r="F108" s="1">
        <f t="shared" si="9"/>
        <v>14732867.023610622</v>
      </c>
    </row>
    <row r="109" spans="1:6" x14ac:dyDescent="0.25">
      <c r="A109" s="7"/>
      <c r="B109" s="6">
        <f t="shared" si="5"/>
        <v>100</v>
      </c>
      <c r="C109" s="1">
        <f t="shared" si="6"/>
        <v>19473104.75690509</v>
      </c>
      <c r="D109" s="5">
        <f t="shared" si="7"/>
        <v>1463758824.5171404</v>
      </c>
      <c r="E109" s="5">
        <f t="shared" si="8"/>
        <v>4787640.1106274109</v>
      </c>
      <c r="F109" s="1">
        <f t="shared" si="9"/>
        <v>14685464.646277679</v>
      </c>
    </row>
    <row r="110" spans="1:6" x14ac:dyDescent="0.25">
      <c r="A110" s="7"/>
      <c r="B110" s="6">
        <f t="shared" si="5"/>
        <v>101</v>
      </c>
      <c r="C110" s="1">
        <f t="shared" si="6"/>
        <v>19473104.75690509</v>
      </c>
      <c r="D110" s="5">
        <f t="shared" si="7"/>
        <v>1458923308.0054066</v>
      </c>
      <c r="E110" s="5">
        <f t="shared" si="8"/>
        <v>4835516.5117336866</v>
      </c>
      <c r="F110" s="1">
        <f t="shared" si="9"/>
        <v>14637588.245171404</v>
      </c>
    </row>
    <row r="111" spans="1:6" x14ac:dyDescent="0.25">
      <c r="A111" s="7"/>
      <c r="B111" s="6">
        <f t="shared" si="5"/>
        <v>102</v>
      </c>
      <c r="C111" s="1">
        <f t="shared" si="6"/>
        <v>19473104.75690509</v>
      </c>
      <c r="D111" s="5">
        <f t="shared" si="7"/>
        <v>1454039436.3285556</v>
      </c>
      <c r="E111" s="5">
        <f t="shared" si="8"/>
        <v>4883871.6768510249</v>
      </c>
      <c r="F111" s="1">
        <f t="shared" si="9"/>
        <v>14589233.080054065</v>
      </c>
    </row>
    <row r="112" spans="1:6" x14ac:dyDescent="0.25">
      <c r="A112" s="7"/>
      <c r="B112" s="6">
        <f t="shared" si="5"/>
        <v>103</v>
      </c>
      <c r="C112" s="1">
        <f t="shared" si="6"/>
        <v>19473104.75690509</v>
      </c>
      <c r="D112" s="5">
        <f t="shared" si="7"/>
        <v>1449106725.934936</v>
      </c>
      <c r="E112" s="5">
        <f t="shared" si="8"/>
        <v>4932710.3936195336</v>
      </c>
      <c r="F112" s="1">
        <f t="shared" si="9"/>
        <v>14540394.363285556</v>
      </c>
    </row>
    <row r="113" spans="1:6" x14ac:dyDescent="0.25">
      <c r="A113" s="7"/>
      <c r="B113" s="6">
        <f t="shared" si="5"/>
        <v>104</v>
      </c>
      <c r="C113" s="1">
        <f t="shared" si="6"/>
        <v>19473104.75690509</v>
      </c>
      <c r="D113" s="5">
        <f t="shared" si="7"/>
        <v>1444124688.4373803</v>
      </c>
      <c r="E113" s="5">
        <f t="shared" si="8"/>
        <v>4982037.497555729</v>
      </c>
      <c r="F113" s="1">
        <f t="shared" si="9"/>
        <v>14491067.259349361</v>
      </c>
    </row>
    <row r="114" spans="1:6" x14ac:dyDescent="0.25">
      <c r="A114" s="7"/>
      <c r="B114" s="6">
        <f t="shared" si="5"/>
        <v>105</v>
      </c>
      <c r="C114" s="1">
        <f t="shared" si="6"/>
        <v>19473104.75690509</v>
      </c>
      <c r="D114" s="5">
        <f t="shared" si="7"/>
        <v>1439092830.5648491</v>
      </c>
      <c r="E114" s="5">
        <f t="shared" si="8"/>
        <v>5031857.8725312892</v>
      </c>
      <c r="F114" s="1">
        <f t="shared" si="9"/>
        <v>14441246.884373801</v>
      </c>
    </row>
    <row r="115" spans="1:6" x14ac:dyDescent="0.25">
      <c r="A115" s="7"/>
      <c r="B115" s="6">
        <f t="shared" si="5"/>
        <v>106</v>
      </c>
      <c r="C115" s="1">
        <f t="shared" si="6"/>
        <v>19473104.75690509</v>
      </c>
      <c r="D115" s="5">
        <f t="shared" si="7"/>
        <v>1434010654.1135926</v>
      </c>
      <c r="E115" s="5">
        <f t="shared" si="8"/>
        <v>5082176.4512565993</v>
      </c>
      <c r="F115" s="1">
        <f t="shared" si="9"/>
        <v>14390928.305648491</v>
      </c>
    </row>
    <row r="116" spans="1:6" x14ac:dyDescent="0.25">
      <c r="A116" s="7"/>
      <c r="B116" s="6">
        <f t="shared" si="5"/>
        <v>107</v>
      </c>
      <c r="C116" s="1">
        <f t="shared" si="6"/>
        <v>19473104.75690509</v>
      </c>
      <c r="D116" s="5">
        <f t="shared" si="7"/>
        <v>1428877655.8978236</v>
      </c>
      <c r="E116" s="5">
        <f t="shared" si="8"/>
        <v>5132998.2157691661</v>
      </c>
      <c r="F116" s="1">
        <f t="shared" si="9"/>
        <v>14340106.541135924</v>
      </c>
    </row>
    <row r="117" spans="1:6" x14ac:dyDescent="0.25">
      <c r="A117" s="7"/>
      <c r="B117" s="6">
        <f t="shared" si="5"/>
        <v>108</v>
      </c>
      <c r="C117" s="1">
        <f t="shared" si="6"/>
        <v>19473104.75690509</v>
      </c>
      <c r="D117" s="5">
        <f t="shared" si="7"/>
        <v>1423693327.6998968</v>
      </c>
      <c r="E117" s="5">
        <f t="shared" si="8"/>
        <v>5184328.1979268547</v>
      </c>
      <c r="F117" s="1">
        <f t="shared" si="9"/>
        <v>14288776.558978235</v>
      </c>
    </row>
    <row r="118" spans="1:6" x14ac:dyDescent="0.25">
      <c r="A118" s="7" t="s">
        <v>31</v>
      </c>
      <c r="B118" s="6">
        <f t="shared" si="5"/>
        <v>109</v>
      </c>
      <c r="C118" s="1">
        <f t="shared" si="6"/>
        <v>19473104.75690509</v>
      </c>
      <c r="D118" s="5">
        <f t="shared" si="7"/>
        <v>1418457156.2199907</v>
      </c>
      <c r="E118" s="5">
        <f t="shared" si="8"/>
        <v>5236171.4799061231</v>
      </c>
      <c r="F118" s="1">
        <f t="shared" si="9"/>
        <v>14236933.276998967</v>
      </c>
    </row>
    <row r="119" spans="1:6" x14ac:dyDescent="0.25">
      <c r="A119" s="7"/>
      <c r="B119" s="6">
        <f t="shared" si="5"/>
        <v>110</v>
      </c>
      <c r="C119" s="1">
        <f t="shared" si="6"/>
        <v>19473104.75690509</v>
      </c>
      <c r="D119" s="5">
        <f t="shared" si="7"/>
        <v>1413168623.0252855</v>
      </c>
      <c r="E119" s="5">
        <f t="shared" si="8"/>
        <v>5288533.1947051827</v>
      </c>
      <c r="F119" s="1">
        <f t="shared" si="9"/>
        <v>14184571.562199907</v>
      </c>
    </row>
    <row r="120" spans="1:6" x14ac:dyDescent="0.25">
      <c r="A120" s="7"/>
      <c r="B120" s="6">
        <f t="shared" si="5"/>
        <v>111</v>
      </c>
      <c r="C120" s="1">
        <f t="shared" si="6"/>
        <v>19473104.75690509</v>
      </c>
      <c r="D120" s="5">
        <f t="shared" si="7"/>
        <v>1407827204.4986331</v>
      </c>
      <c r="E120" s="5">
        <f t="shared" si="8"/>
        <v>5341418.5266522355</v>
      </c>
      <c r="F120" s="1">
        <f t="shared" si="9"/>
        <v>14131686.230252855</v>
      </c>
    </row>
    <row r="121" spans="1:6" x14ac:dyDescent="0.25">
      <c r="A121" s="7"/>
      <c r="B121" s="6">
        <f t="shared" si="5"/>
        <v>112</v>
      </c>
      <c r="C121" s="1">
        <f t="shared" si="6"/>
        <v>19473104.75690509</v>
      </c>
      <c r="D121" s="5">
        <f t="shared" si="7"/>
        <v>1402432371.7867143</v>
      </c>
      <c r="E121" s="5">
        <f t="shared" si="8"/>
        <v>5394832.7119187601</v>
      </c>
      <c r="F121" s="1">
        <f t="shared" si="9"/>
        <v>14078272.04498633</v>
      </c>
    </row>
    <row r="122" spans="1:6" x14ac:dyDescent="0.25">
      <c r="A122" s="7"/>
      <c r="B122" s="6">
        <f t="shared" si="5"/>
        <v>113</v>
      </c>
      <c r="C122" s="1">
        <f t="shared" si="6"/>
        <v>19473104.75690509</v>
      </c>
      <c r="D122" s="5">
        <f t="shared" si="7"/>
        <v>1396983590.7476764</v>
      </c>
      <c r="E122" s="5">
        <f t="shared" si="8"/>
        <v>5448781.0390379466</v>
      </c>
      <c r="F122" s="1">
        <f t="shared" si="9"/>
        <v>14024323.717867143</v>
      </c>
    </row>
    <row r="123" spans="1:6" x14ac:dyDescent="0.25">
      <c r="A123" s="7"/>
      <c r="B123" s="6">
        <f t="shared" si="5"/>
        <v>114</v>
      </c>
      <c r="C123" s="1">
        <f t="shared" si="6"/>
        <v>19473104.75690509</v>
      </c>
      <c r="D123" s="5">
        <f t="shared" si="7"/>
        <v>1391480321.898248</v>
      </c>
      <c r="E123" s="5">
        <f t="shared" si="8"/>
        <v>5503268.8494283278</v>
      </c>
      <c r="F123" s="1">
        <f t="shared" si="9"/>
        <v>13969835.907476762</v>
      </c>
    </row>
    <row r="124" spans="1:6" x14ac:dyDescent="0.25">
      <c r="A124" s="7"/>
      <c r="B124" s="6">
        <f t="shared" si="5"/>
        <v>115</v>
      </c>
      <c r="C124" s="1">
        <f t="shared" si="6"/>
        <v>19473104.75690509</v>
      </c>
      <c r="D124" s="5">
        <f t="shared" si="7"/>
        <v>1385922020.3603253</v>
      </c>
      <c r="E124" s="5">
        <f t="shared" si="8"/>
        <v>5558301.5379226115</v>
      </c>
      <c r="F124" s="1">
        <f t="shared" si="9"/>
        <v>13914803.218982479</v>
      </c>
    </row>
    <row r="125" spans="1:6" x14ac:dyDescent="0.25">
      <c r="A125" s="7"/>
      <c r="B125" s="6">
        <f t="shared" si="5"/>
        <v>116</v>
      </c>
      <c r="C125" s="1">
        <f t="shared" si="6"/>
        <v>19473104.75690509</v>
      </c>
      <c r="D125" s="5">
        <f t="shared" si="7"/>
        <v>1380308135.8070235</v>
      </c>
      <c r="E125" s="5">
        <f t="shared" si="8"/>
        <v>5613884.5533018373</v>
      </c>
      <c r="F125" s="1">
        <f t="shared" si="9"/>
        <v>13859220.203603253</v>
      </c>
    </row>
    <row r="126" spans="1:6" x14ac:dyDescent="0.25">
      <c r="A126" s="7"/>
      <c r="B126" s="6">
        <f t="shared" si="5"/>
        <v>117</v>
      </c>
      <c r="C126" s="1">
        <f t="shared" si="6"/>
        <v>19473104.75690509</v>
      </c>
      <c r="D126" s="5">
        <f t="shared" si="7"/>
        <v>1374638112.4081886</v>
      </c>
      <c r="E126" s="5">
        <f t="shared" si="8"/>
        <v>5670023.3988348562</v>
      </c>
      <c r="F126" s="1">
        <f t="shared" si="9"/>
        <v>13803081.358070234</v>
      </c>
    </row>
    <row r="127" spans="1:6" x14ac:dyDescent="0.25">
      <c r="A127" s="7"/>
      <c r="B127" s="6">
        <f t="shared" si="5"/>
        <v>118</v>
      </c>
      <c r="C127" s="1">
        <f t="shared" si="6"/>
        <v>19473104.75690509</v>
      </c>
      <c r="D127" s="5">
        <f t="shared" si="7"/>
        <v>1368911388.7753654</v>
      </c>
      <c r="E127" s="5">
        <f t="shared" si="8"/>
        <v>5726723.6328232046</v>
      </c>
      <c r="F127" s="1">
        <f t="shared" si="9"/>
        <v>13746381.124081885</v>
      </c>
    </row>
    <row r="128" spans="1:6" x14ac:dyDescent="0.25">
      <c r="A128" s="7"/>
      <c r="B128" s="6">
        <f t="shared" si="5"/>
        <v>119</v>
      </c>
      <c r="C128" s="1">
        <f t="shared" si="6"/>
        <v>19473104.75690509</v>
      </c>
      <c r="D128" s="5">
        <f t="shared" si="7"/>
        <v>1363127397.906214</v>
      </c>
      <c r="E128" s="5">
        <f t="shared" si="8"/>
        <v>5783990.8691514377</v>
      </c>
      <c r="F128" s="1">
        <f t="shared" si="9"/>
        <v>13689113.887753652</v>
      </c>
    </row>
    <row r="129" spans="1:6" x14ac:dyDescent="0.25">
      <c r="A129" s="7"/>
      <c r="B129" s="6">
        <f t="shared" si="5"/>
        <v>120</v>
      </c>
      <c r="C129" s="1">
        <f t="shared" si="6"/>
        <v>19473104.75690509</v>
      </c>
      <c r="D129" s="5">
        <f t="shared" si="7"/>
        <v>1357285567.128371</v>
      </c>
      <c r="E129" s="5">
        <f t="shared" si="8"/>
        <v>5841830.7778429501</v>
      </c>
      <c r="F129" s="1">
        <f t="shared" si="9"/>
        <v>13631273.97906214</v>
      </c>
    </row>
    <row r="130" spans="1:6" x14ac:dyDescent="0.25">
      <c r="A130" s="7" t="s">
        <v>32</v>
      </c>
      <c r="B130" s="6">
        <f t="shared" si="5"/>
        <v>121</v>
      </c>
      <c r="C130" s="1">
        <f t="shared" si="6"/>
        <v>19473104.75690509</v>
      </c>
      <c r="D130" s="5">
        <f t="shared" si="7"/>
        <v>1351385318.0427496</v>
      </c>
      <c r="E130" s="5">
        <f t="shared" si="8"/>
        <v>5900249.0856213812</v>
      </c>
      <c r="F130" s="1">
        <f t="shared" si="9"/>
        <v>13572855.671283709</v>
      </c>
    </row>
    <row r="131" spans="1:6" x14ac:dyDescent="0.25">
      <c r="A131" s="7"/>
      <c r="B131" s="6">
        <f t="shared" si="5"/>
        <v>122</v>
      </c>
      <c r="C131" s="1">
        <f t="shared" si="6"/>
        <v>19473104.75690509</v>
      </c>
      <c r="D131" s="5">
        <f t="shared" si="7"/>
        <v>1345426066.4662721</v>
      </c>
      <c r="E131" s="5">
        <f t="shared" si="8"/>
        <v>5959251.5764775928</v>
      </c>
      <c r="F131" s="1">
        <f t="shared" si="9"/>
        <v>13513853.180427497</v>
      </c>
    </row>
    <row r="132" spans="1:6" x14ac:dyDescent="0.25">
      <c r="A132" s="7"/>
      <c r="B132" s="6">
        <f t="shared" si="5"/>
        <v>123</v>
      </c>
      <c r="C132" s="1">
        <f t="shared" si="6"/>
        <v>19473104.75690509</v>
      </c>
      <c r="D132" s="5">
        <f t="shared" si="7"/>
        <v>1339407222.3740296</v>
      </c>
      <c r="E132" s="5">
        <f t="shared" si="8"/>
        <v>6018844.0922423694</v>
      </c>
      <c r="F132" s="1">
        <f t="shared" si="9"/>
        <v>13454260.664662721</v>
      </c>
    </row>
    <row r="133" spans="1:6" x14ac:dyDescent="0.25">
      <c r="A133" s="7"/>
      <c r="B133" s="6">
        <f t="shared" si="5"/>
        <v>124</v>
      </c>
      <c r="C133" s="1">
        <f t="shared" si="6"/>
        <v>19473104.75690509</v>
      </c>
      <c r="D133" s="5">
        <f t="shared" si="7"/>
        <v>1333328189.8408649</v>
      </c>
      <c r="E133" s="5">
        <f t="shared" si="8"/>
        <v>6079032.5331647936</v>
      </c>
      <c r="F133" s="1">
        <f t="shared" si="9"/>
        <v>13394072.223740296</v>
      </c>
    </row>
    <row r="134" spans="1:6" x14ac:dyDescent="0.25">
      <c r="A134" s="7"/>
      <c r="B134" s="6">
        <f t="shared" si="5"/>
        <v>125</v>
      </c>
      <c r="C134" s="1">
        <f t="shared" si="6"/>
        <v>19473104.75690509</v>
      </c>
      <c r="D134" s="5">
        <f t="shared" si="7"/>
        <v>1327188366.9823685</v>
      </c>
      <c r="E134" s="5">
        <f t="shared" si="8"/>
        <v>6139822.8584964406</v>
      </c>
      <c r="F134" s="1">
        <f t="shared" si="9"/>
        <v>13333281.898408649</v>
      </c>
    </row>
    <row r="135" spans="1:6" x14ac:dyDescent="0.25">
      <c r="A135" s="7"/>
      <c r="B135" s="6">
        <f t="shared" si="5"/>
        <v>126</v>
      </c>
      <c r="C135" s="1">
        <f t="shared" si="6"/>
        <v>19473104.75690509</v>
      </c>
      <c r="D135" s="5">
        <f t="shared" si="7"/>
        <v>1320987145.895287</v>
      </c>
      <c r="E135" s="5">
        <f t="shared" si="8"/>
        <v>6201221.0870814063</v>
      </c>
      <c r="F135" s="1">
        <f t="shared" si="9"/>
        <v>13271883.669823684</v>
      </c>
    </row>
    <row r="136" spans="1:6" x14ac:dyDescent="0.25">
      <c r="A136" s="7"/>
      <c r="B136" s="6">
        <f t="shared" si="5"/>
        <v>127</v>
      </c>
      <c r="C136" s="1">
        <f t="shared" si="6"/>
        <v>19473104.75690509</v>
      </c>
      <c r="D136" s="5">
        <f t="shared" si="7"/>
        <v>1314723912.5973349</v>
      </c>
      <c r="E136" s="5">
        <f t="shared" si="8"/>
        <v>6263233.2979522217</v>
      </c>
      <c r="F136" s="1">
        <f t="shared" si="9"/>
        <v>13209871.458952868</v>
      </c>
    </row>
    <row r="137" spans="1:6" x14ac:dyDescent="0.25">
      <c r="A137" s="7"/>
      <c r="B137" s="6">
        <f t="shared" si="5"/>
        <v>128</v>
      </c>
      <c r="C137" s="1">
        <f t="shared" si="6"/>
        <v>19473104.75690509</v>
      </c>
      <c r="D137" s="5">
        <f t="shared" si="7"/>
        <v>1308398046.966403</v>
      </c>
      <c r="E137" s="5">
        <f t="shared" si="8"/>
        <v>6325865.6309317406</v>
      </c>
      <c r="F137" s="1">
        <f t="shared" si="9"/>
        <v>13147239.125973349</v>
      </c>
    </row>
    <row r="138" spans="1:6" x14ac:dyDescent="0.25">
      <c r="A138" s="7"/>
      <c r="B138" s="6">
        <f t="shared" si="5"/>
        <v>129</v>
      </c>
      <c r="C138" s="1">
        <f t="shared" si="6"/>
        <v>19473104.75690509</v>
      </c>
      <c r="D138" s="5">
        <f t="shared" si="7"/>
        <v>1302008922.679162</v>
      </c>
      <c r="E138" s="5">
        <f t="shared" si="8"/>
        <v>6389124.2872410603</v>
      </c>
      <c r="F138" s="1">
        <f t="shared" si="9"/>
        <v>13083980.46966403</v>
      </c>
    </row>
    <row r="139" spans="1:6" x14ac:dyDescent="0.25">
      <c r="A139" s="7"/>
      <c r="B139" s="6">
        <f t="shared" ref="B139:B202" si="10">B138+1</f>
        <v>130</v>
      </c>
      <c r="C139" s="1">
        <f t="shared" ref="C139:C202" si="11">IF(AND($F$1&lt;=$B$2,B139&lt;=$F$1),($B$1*($B$3/12))/(1-1/(1+$B$3/12)^$B$2),($B$5*($B$4/12))/(1-1/(1+$B$4/12)^$F$2))</f>
        <v>19473104.75690509</v>
      </c>
      <c r="D139" s="5">
        <f t="shared" ref="D139:D202" si="12">D138-E139</f>
        <v>1295555907.1490486</v>
      </c>
      <c r="E139" s="5">
        <f t="shared" ref="E139:E202" si="13">C139-F139</f>
        <v>6453015.5301134698</v>
      </c>
      <c r="F139" s="1">
        <f t="shared" ref="F139:F202" si="14">IF(B139&lt;=$F$1,D138*$B$3/12,D138*$B$4/12)</f>
        <v>13020089.22679162</v>
      </c>
    </row>
    <row r="140" spans="1:6" x14ac:dyDescent="0.25">
      <c r="A140" s="7"/>
      <c r="B140" s="6">
        <f t="shared" si="10"/>
        <v>131</v>
      </c>
      <c r="C140" s="1">
        <f t="shared" si="11"/>
        <v>19473104.75690509</v>
      </c>
      <c r="D140" s="5">
        <f t="shared" si="12"/>
        <v>1289038361.463634</v>
      </c>
      <c r="E140" s="5">
        <f t="shared" si="13"/>
        <v>6517545.6854146067</v>
      </c>
      <c r="F140" s="1">
        <f t="shared" si="14"/>
        <v>12955559.071490483</v>
      </c>
    </row>
    <row r="141" spans="1:6" x14ac:dyDescent="0.25">
      <c r="A141" s="7"/>
      <c r="B141" s="6">
        <f t="shared" si="10"/>
        <v>132</v>
      </c>
      <c r="C141" s="1">
        <f t="shared" si="11"/>
        <v>19473104.75690509</v>
      </c>
      <c r="D141" s="5">
        <f t="shared" si="12"/>
        <v>1282455640.3213654</v>
      </c>
      <c r="E141" s="5">
        <f t="shared" si="13"/>
        <v>6582721.1422687508</v>
      </c>
      <c r="F141" s="1">
        <f t="shared" si="14"/>
        <v>12890383.614636339</v>
      </c>
    </row>
    <row r="142" spans="1:6" x14ac:dyDescent="0.25">
      <c r="A142" s="7" t="s">
        <v>33</v>
      </c>
      <c r="B142" s="6">
        <f t="shared" si="10"/>
        <v>133</v>
      </c>
      <c r="C142" s="1">
        <f t="shared" si="11"/>
        <v>19473104.75690509</v>
      </c>
      <c r="D142" s="5">
        <f t="shared" si="12"/>
        <v>1275807091.967674</v>
      </c>
      <c r="E142" s="5">
        <f t="shared" si="13"/>
        <v>6648548.3536914382</v>
      </c>
      <c r="F142" s="1">
        <f t="shared" si="14"/>
        <v>12824556.403213652</v>
      </c>
    </row>
    <row r="143" spans="1:6" x14ac:dyDescent="0.25">
      <c r="A143" s="7"/>
      <c r="B143" s="6">
        <f t="shared" si="10"/>
        <v>134</v>
      </c>
      <c r="C143" s="1">
        <f t="shared" si="11"/>
        <v>19473104.75690509</v>
      </c>
      <c r="D143" s="5">
        <f t="shared" si="12"/>
        <v>1269092058.1304457</v>
      </c>
      <c r="E143" s="5">
        <f t="shared" si="13"/>
        <v>6715033.8372283522</v>
      </c>
      <c r="F143" s="1">
        <f t="shared" si="14"/>
        <v>12758070.919676738</v>
      </c>
    </row>
    <row r="144" spans="1:6" x14ac:dyDescent="0.25">
      <c r="A144" s="7"/>
      <c r="B144" s="6">
        <f t="shared" si="10"/>
        <v>135</v>
      </c>
      <c r="C144" s="1">
        <f t="shared" si="11"/>
        <v>19473104.75690509</v>
      </c>
      <c r="D144" s="5">
        <f t="shared" si="12"/>
        <v>1262309873.9548452</v>
      </c>
      <c r="E144" s="5">
        <f t="shared" si="13"/>
        <v>6782184.1756006349</v>
      </c>
      <c r="F144" s="1">
        <f t="shared" si="14"/>
        <v>12690920.581304455</v>
      </c>
    </row>
    <row r="145" spans="1:6" x14ac:dyDescent="0.25">
      <c r="A145" s="7"/>
      <c r="B145" s="6">
        <f t="shared" si="10"/>
        <v>136</v>
      </c>
      <c r="C145" s="1">
        <f t="shared" si="11"/>
        <v>19473104.75690509</v>
      </c>
      <c r="D145" s="5">
        <f t="shared" si="12"/>
        <v>1255459867.9374886</v>
      </c>
      <c r="E145" s="5">
        <f t="shared" si="13"/>
        <v>6850006.0173566379</v>
      </c>
      <c r="F145" s="1">
        <f t="shared" si="14"/>
        <v>12623098.739548452</v>
      </c>
    </row>
    <row r="146" spans="1:6" x14ac:dyDescent="0.25">
      <c r="A146" s="7"/>
      <c r="B146" s="6">
        <f t="shared" si="10"/>
        <v>137</v>
      </c>
      <c r="C146" s="1">
        <f t="shared" si="11"/>
        <v>19473104.75690509</v>
      </c>
      <c r="D146" s="5">
        <f t="shared" si="12"/>
        <v>1248541361.8599584</v>
      </c>
      <c r="E146" s="5">
        <f t="shared" si="13"/>
        <v>6918506.0775302034</v>
      </c>
      <c r="F146" s="1">
        <f t="shared" si="14"/>
        <v>12554598.679374887</v>
      </c>
    </row>
    <row r="147" spans="1:6" x14ac:dyDescent="0.25">
      <c r="A147" s="7"/>
      <c r="B147" s="6">
        <f t="shared" si="10"/>
        <v>138</v>
      </c>
      <c r="C147" s="1">
        <f t="shared" si="11"/>
        <v>19473104.75690509</v>
      </c>
      <c r="D147" s="5">
        <f t="shared" si="12"/>
        <v>1241553670.721653</v>
      </c>
      <c r="E147" s="5">
        <f t="shared" si="13"/>
        <v>6987691.1383055057</v>
      </c>
      <c r="F147" s="1">
        <f t="shared" si="14"/>
        <v>12485413.618599584</v>
      </c>
    </row>
    <row r="148" spans="1:6" x14ac:dyDescent="0.25">
      <c r="A148" s="7"/>
      <c r="B148" s="6">
        <f t="shared" si="10"/>
        <v>139</v>
      </c>
      <c r="C148" s="1">
        <f t="shared" si="11"/>
        <v>19473104.75690509</v>
      </c>
      <c r="D148" s="5">
        <f t="shared" si="12"/>
        <v>1234496102.6719644</v>
      </c>
      <c r="E148" s="5">
        <f t="shared" si="13"/>
        <v>7057568.0496885609</v>
      </c>
      <c r="F148" s="1">
        <f t="shared" si="14"/>
        <v>12415536.707216529</v>
      </c>
    </row>
    <row r="149" spans="1:6" x14ac:dyDescent="0.25">
      <c r="A149" s="7"/>
      <c r="B149" s="6">
        <f t="shared" si="10"/>
        <v>140</v>
      </c>
      <c r="C149" s="1">
        <f t="shared" si="11"/>
        <v>19473104.75690509</v>
      </c>
      <c r="D149" s="5">
        <f t="shared" si="12"/>
        <v>1227367958.9417789</v>
      </c>
      <c r="E149" s="5">
        <f t="shared" si="13"/>
        <v>7128143.7301854454</v>
      </c>
      <c r="F149" s="1">
        <f t="shared" si="14"/>
        <v>12344961.026719645</v>
      </c>
    </row>
    <row r="150" spans="1:6" x14ac:dyDescent="0.25">
      <c r="A150" s="7"/>
      <c r="B150" s="6">
        <f t="shared" si="10"/>
        <v>141</v>
      </c>
      <c r="C150" s="1">
        <f t="shared" si="11"/>
        <v>19473104.75690509</v>
      </c>
      <c r="D150" s="5">
        <f t="shared" si="12"/>
        <v>1220168533.7742915</v>
      </c>
      <c r="E150" s="5">
        <f t="shared" si="13"/>
        <v>7199425.1674873028</v>
      </c>
      <c r="F150" s="1">
        <f t="shared" si="14"/>
        <v>12273679.589417787</v>
      </c>
    </row>
    <row r="151" spans="1:6" x14ac:dyDescent="0.25">
      <c r="A151" s="7"/>
      <c r="B151" s="6">
        <f t="shared" si="10"/>
        <v>142</v>
      </c>
      <c r="C151" s="1">
        <f t="shared" si="11"/>
        <v>19473104.75690509</v>
      </c>
      <c r="D151" s="5">
        <f t="shared" si="12"/>
        <v>1212897114.3551292</v>
      </c>
      <c r="E151" s="5">
        <f t="shared" si="13"/>
        <v>7271419.4191621747</v>
      </c>
      <c r="F151" s="1">
        <f t="shared" si="14"/>
        <v>12201685.337742915</v>
      </c>
    </row>
    <row r="152" spans="1:6" x14ac:dyDescent="0.25">
      <c r="A152" s="7"/>
      <c r="B152" s="6">
        <f t="shared" si="10"/>
        <v>143</v>
      </c>
      <c r="C152" s="1">
        <f t="shared" si="11"/>
        <v>19473104.75690509</v>
      </c>
      <c r="D152" s="5">
        <f t="shared" si="12"/>
        <v>1205552980.7417755</v>
      </c>
      <c r="E152" s="5">
        <f t="shared" si="13"/>
        <v>7344133.6133537982</v>
      </c>
      <c r="F152" s="1">
        <f t="shared" si="14"/>
        <v>12128971.143551292</v>
      </c>
    </row>
    <row r="153" spans="1:6" x14ac:dyDescent="0.25">
      <c r="A153" s="7"/>
      <c r="B153" s="6">
        <f t="shared" si="10"/>
        <v>144</v>
      </c>
      <c r="C153" s="1">
        <f t="shared" si="11"/>
        <v>19473104.75690509</v>
      </c>
      <c r="D153" s="5">
        <f t="shared" si="12"/>
        <v>1198135405.7922881</v>
      </c>
      <c r="E153" s="5">
        <f t="shared" si="13"/>
        <v>7417574.9494873341</v>
      </c>
      <c r="F153" s="1">
        <f t="shared" si="14"/>
        <v>12055529.807417756</v>
      </c>
    </row>
    <row r="154" spans="1:6" x14ac:dyDescent="0.25">
      <c r="A154" s="7" t="s">
        <v>34</v>
      </c>
      <c r="B154" s="6">
        <f t="shared" si="10"/>
        <v>145</v>
      </c>
      <c r="C154" s="1">
        <f t="shared" si="11"/>
        <v>19473104.75690509</v>
      </c>
      <c r="D154" s="5">
        <f t="shared" si="12"/>
        <v>1190643655.0933058</v>
      </c>
      <c r="E154" s="5">
        <f t="shared" si="13"/>
        <v>7491750.6989822108</v>
      </c>
      <c r="F154" s="1">
        <f t="shared" si="14"/>
        <v>11981354.057922879</v>
      </c>
    </row>
    <row r="155" spans="1:6" x14ac:dyDescent="0.25">
      <c r="A155" s="7"/>
      <c r="B155" s="6">
        <f t="shared" si="10"/>
        <v>146</v>
      </c>
      <c r="C155" s="1">
        <f t="shared" si="11"/>
        <v>19473104.75690509</v>
      </c>
      <c r="D155" s="5">
        <f t="shared" si="12"/>
        <v>1183076986.8873339</v>
      </c>
      <c r="E155" s="5">
        <f t="shared" si="13"/>
        <v>7566668.2059720326</v>
      </c>
      <c r="F155" s="1">
        <f t="shared" si="14"/>
        <v>11906436.550933057</v>
      </c>
    </row>
    <row r="156" spans="1:6" x14ac:dyDescent="0.25">
      <c r="A156" s="7"/>
      <c r="B156" s="6">
        <f t="shared" si="10"/>
        <v>147</v>
      </c>
      <c r="C156" s="1">
        <f t="shared" si="11"/>
        <v>19473104.75690509</v>
      </c>
      <c r="D156" s="5">
        <f t="shared" si="12"/>
        <v>1175434651.9993021</v>
      </c>
      <c r="E156" s="5">
        <f t="shared" si="13"/>
        <v>7642334.8880317528</v>
      </c>
      <c r="F156" s="1">
        <f t="shared" si="14"/>
        <v>11830769.868873337</v>
      </c>
    </row>
    <row r="157" spans="1:6" x14ac:dyDescent="0.25">
      <c r="A157" s="7"/>
      <c r="B157" s="6">
        <f t="shared" si="10"/>
        <v>148</v>
      </c>
      <c r="C157" s="1">
        <f t="shared" si="11"/>
        <v>19473104.75690509</v>
      </c>
      <c r="D157" s="5">
        <f t="shared" si="12"/>
        <v>1167715893.7623901</v>
      </c>
      <c r="E157" s="5">
        <f t="shared" si="13"/>
        <v>7718758.236912068</v>
      </c>
      <c r="F157" s="1">
        <f t="shared" si="14"/>
        <v>11754346.519993022</v>
      </c>
    </row>
    <row r="158" spans="1:6" x14ac:dyDescent="0.25">
      <c r="A158" s="7"/>
      <c r="B158" s="6">
        <f t="shared" si="10"/>
        <v>149</v>
      </c>
      <c r="C158" s="1">
        <f t="shared" si="11"/>
        <v>19473104.75690509</v>
      </c>
      <c r="D158" s="5">
        <f t="shared" si="12"/>
        <v>1159919947.943109</v>
      </c>
      <c r="E158" s="5">
        <f t="shared" si="13"/>
        <v>7795945.8192811888</v>
      </c>
      <c r="F158" s="1">
        <f t="shared" si="14"/>
        <v>11677158.937623901</v>
      </c>
    </row>
    <row r="159" spans="1:6" x14ac:dyDescent="0.25">
      <c r="A159" s="7"/>
      <c r="B159" s="6">
        <f t="shared" si="10"/>
        <v>150</v>
      </c>
      <c r="C159" s="1">
        <f t="shared" si="11"/>
        <v>19473104.75690509</v>
      </c>
      <c r="D159" s="5">
        <f t="shared" si="12"/>
        <v>1152046042.6656351</v>
      </c>
      <c r="E159" s="5">
        <f t="shared" si="13"/>
        <v>7873905.2774739992</v>
      </c>
      <c r="F159" s="1">
        <f t="shared" si="14"/>
        <v>11599199.479431091</v>
      </c>
    </row>
    <row r="160" spans="1:6" x14ac:dyDescent="0.25">
      <c r="A160" s="7"/>
      <c r="B160" s="6">
        <f t="shared" si="10"/>
        <v>151</v>
      </c>
      <c r="C160" s="1">
        <f t="shared" si="11"/>
        <v>19473104.75690509</v>
      </c>
      <c r="D160" s="5">
        <f t="shared" si="12"/>
        <v>1144093398.3353863</v>
      </c>
      <c r="E160" s="5">
        <f t="shared" si="13"/>
        <v>7952644.3302487396</v>
      </c>
      <c r="F160" s="1">
        <f t="shared" si="14"/>
        <v>11520460.42665635</v>
      </c>
    </row>
    <row r="161" spans="1:6" x14ac:dyDescent="0.25">
      <c r="A161" s="7"/>
      <c r="B161" s="6">
        <f t="shared" si="10"/>
        <v>152</v>
      </c>
      <c r="C161" s="1">
        <f t="shared" si="11"/>
        <v>19473104.75690509</v>
      </c>
      <c r="D161" s="5">
        <f t="shared" si="12"/>
        <v>1136061227.5618351</v>
      </c>
      <c r="E161" s="5">
        <f t="shared" si="13"/>
        <v>8032170.7735512275</v>
      </c>
      <c r="F161" s="1">
        <f t="shared" si="14"/>
        <v>11440933.983353863</v>
      </c>
    </row>
    <row r="162" spans="1:6" x14ac:dyDescent="0.25">
      <c r="A162" s="7"/>
      <c r="B162" s="6">
        <f t="shared" si="10"/>
        <v>153</v>
      </c>
      <c r="C162" s="1">
        <f t="shared" si="11"/>
        <v>19473104.75690509</v>
      </c>
      <c r="D162" s="5">
        <f t="shared" si="12"/>
        <v>1127948735.0805483</v>
      </c>
      <c r="E162" s="5">
        <f t="shared" si="13"/>
        <v>8112492.4812867399</v>
      </c>
      <c r="F162" s="1">
        <f t="shared" si="14"/>
        <v>11360612.27561835</v>
      </c>
    </row>
    <row r="163" spans="1:6" x14ac:dyDescent="0.25">
      <c r="A163" s="7"/>
      <c r="B163" s="6">
        <f t="shared" si="10"/>
        <v>154</v>
      </c>
      <c r="C163" s="1">
        <f t="shared" si="11"/>
        <v>19473104.75690509</v>
      </c>
      <c r="D163" s="5">
        <f t="shared" si="12"/>
        <v>1119755117.6744487</v>
      </c>
      <c r="E163" s="5">
        <f t="shared" si="13"/>
        <v>8193617.4060996082</v>
      </c>
      <c r="F163" s="1">
        <f t="shared" si="14"/>
        <v>11279487.350805482</v>
      </c>
    </row>
    <row r="164" spans="1:6" x14ac:dyDescent="0.25">
      <c r="A164" s="7"/>
      <c r="B164" s="6">
        <f t="shared" si="10"/>
        <v>155</v>
      </c>
      <c r="C164" s="1">
        <f t="shared" si="11"/>
        <v>19473104.75690509</v>
      </c>
      <c r="D164" s="5">
        <f t="shared" si="12"/>
        <v>1111479564.0942881</v>
      </c>
      <c r="E164" s="5">
        <f t="shared" si="13"/>
        <v>8275553.5801606048</v>
      </c>
      <c r="F164" s="1">
        <f t="shared" si="14"/>
        <v>11197551.176744485</v>
      </c>
    </row>
    <row r="165" spans="1:6" x14ac:dyDescent="0.25">
      <c r="A165" s="7"/>
      <c r="B165" s="6">
        <f t="shared" si="10"/>
        <v>156</v>
      </c>
      <c r="C165" s="1">
        <f t="shared" si="11"/>
        <v>19473104.75690509</v>
      </c>
      <c r="D165" s="5">
        <f t="shared" si="12"/>
        <v>1103121254.9783258</v>
      </c>
      <c r="E165" s="5">
        <f t="shared" si="13"/>
        <v>8358309.1159622092</v>
      </c>
      <c r="F165" s="1">
        <f t="shared" si="14"/>
        <v>11114795.640942881</v>
      </c>
    </row>
    <row r="166" spans="1:6" x14ac:dyDescent="0.25">
      <c r="A166" s="7" t="s">
        <v>35</v>
      </c>
      <c r="B166" s="6">
        <f t="shared" si="10"/>
        <v>157</v>
      </c>
      <c r="C166" s="1">
        <f t="shared" si="11"/>
        <v>19473104.75690509</v>
      </c>
      <c r="D166" s="5">
        <f t="shared" si="12"/>
        <v>1094679362.771204</v>
      </c>
      <c r="E166" s="5">
        <f t="shared" si="13"/>
        <v>8441892.2071218323</v>
      </c>
      <c r="F166" s="1">
        <f t="shared" si="14"/>
        <v>11031212.549783258</v>
      </c>
    </row>
    <row r="167" spans="1:6" x14ac:dyDescent="0.25">
      <c r="A167" s="7"/>
      <c r="B167" s="6">
        <f t="shared" si="10"/>
        <v>158</v>
      </c>
      <c r="C167" s="1">
        <f t="shared" si="11"/>
        <v>19473104.75690509</v>
      </c>
      <c r="D167" s="5">
        <f t="shared" si="12"/>
        <v>1086153051.6420109</v>
      </c>
      <c r="E167" s="5">
        <f t="shared" si="13"/>
        <v>8526311.1291930508</v>
      </c>
      <c r="F167" s="1">
        <f t="shared" si="14"/>
        <v>10946793.627712039</v>
      </c>
    </row>
    <row r="168" spans="1:6" x14ac:dyDescent="0.25">
      <c r="A168" s="7"/>
      <c r="B168" s="6">
        <f t="shared" si="10"/>
        <v>159</v>
      </c>
      <c r="C168" s="1">
        <f t="shared" si="11"/>
        <v>19473104.75690509</v>
      </c>
      <c r="D168" s="5">
        <f t="shared" si="12"/>
        <v>1077541477.401526</v>
      </c>
      <c r="E168" s="5">
        <f t="shared" si="13"/>
        <v>8611574.2404849809</v>
      </c>
      <c r="F168" s="1">
        <f t="shared" si="14"/>
        <v>10861530.516420109</v>
      </c>
    </row>
    <row r="169" spans="1:6" x14ac:dyDescent="0.25">
      <c r="A169" s="7"/>
      <c r="B169" s="6">
        <f t="shared" si="10"/>
        <v>160</v>
      </c>
      <c r="C169" s="1">
        <f t="shared" si="11"/>
        <v>19473104.75690509</v>
      </c>
      <c r="D169" s="5">
        <f t="shared" si="12"/>
        <v>1068843787.4186361</v>
      </c>
      <c r="E169" s="5">
        <f t="shared" si="13"/>
        <v>8697689.9828898311</v>
      </c>
      <c r="F169" s="1">
        <f t="shared" si="14"/>
        <v>10775414.774015259</v>
      </c>
    </row>
    <row r="170" spans="1:6" x14ac:dyDescent="0.25">
      <c r="A170" s="7"/>
      <c r="B170" s="6">
        <f t="shared" si="10"/>
        <v>161</v>
      </c>
      <c r="C170" s="1">
        <f t="shared" si="11"/>
        <v>19473104.75690509</v>
      </c>
      <c r="D170" s="5">
        <f t="shared" si="12"/>
        <v>1060059120.5359174</v>
      </c>
      <c r="E170" s="5">
        <f t="shared" si="13"/>
        <v>8784666.8827187289</v>
      </c>
      <c r="F170" s="1">
        <f t="shared" si="14"/>
        <v>10688437.874186361</v>
      </c>
    </row>
    <row r="171" spans="1:6" x14ac:dyDescent="0.25">
      <c r="A171" s="7"/>
      <c r="B171" s="6">
        <f t="shared" si="10"/>
        <v>162</v>
      </c>
      <c r="C171" s="1">
        <f t="shared" si="11"/>
        <v>19473104.75690509</v>
      </c>
      <c r="D171" s="5">
        <f t="shared" si="12"/>
        <v>1051186606.9843715</v>
      </c>
      <c r="E171" s="5">
        <f t="shared" si="13"/>
        <v>8872513.5515459161</v>
      </c>
      <c r="F171" s="1">
        <f t="shared" si="14"/>
        <v>10600591.205359174</v>
      </c>
    </row>
    <row r="172" spans="1:6" x14ac:dyDescent="0.25">
      <c r="A172" s="7"/>
      <c r="B172" s="6">
        <f t="shared" si="10"/>
        <v>163</v>
      </c>
      <c r="C172" s="1">
        <f t="shared" si="11"/>
        <v>19473104.75690509</v>
      </c>
      <c r="D172" s="5">
        <f t="shared" si="12"/>
        <v>1042225368.2973101</v>
      </c>
      <c r="E172" s="5">
        <f t="shared" si="13"/>
        <v>8961238.687061375</v>
      </c>
      <c r="F172" s="1">
        <f t="shared" si="14"/>
        <v>10511866.069843715</v>
      </c>
    </row>
    <row r="173" spans="1:6" x14ac:dyDescent="0.25">
      <c r="A173" s="7"/>
      <c r="B173" s="6">
        <f t="shared" si="10"/>
        <v>164</v>
      </c>
      <c r="C173" s="1">
        <f t="shared" si="11"/>
        <v>19473104.75690509</v>
      </c>
      <c r="D173" s="5">
        <f t="shared" si="12"/>
        <v>1033174517.2233782</v>
      </c>
      <c r="E173" s="5">
        <f t="shared" si="13"/>
        <v>9050851.0739319902</v>
      </c>
      <c r="F173" s="1">
        <f t="shared" si="14"/>
        <v>10422253.6829731</v>
      </c>
    </row>
    <row r="174" spans="1:6" x14ac:dyDescent="0.25">
      <c r="A174" s="7"/>
      <c r="B174" s="6">
        <f t="shared" si="10"/>
        <v>165</v>
      </c>
      <c r="C174" s="1">
        <f t="shared" si="11"/>
        <v>19473104.75690509</v>
      </c>
      <c r="D174" s="5">
        <f t="shared" si="12"/>
        <v>1024033157.6387069</v>
      </c>
      <c r="E174" s="5">
        <f t="shared" si="13"/>
        <v>9141359.5846713092</v>
      </c>
      <c r="F174" s="1">
        <f t="shared" si="14"/>
        <v>10331745.172233781</v>
      </c>
    </row>
    <row r="175" spans="1:6" x14ac:dyDescent="0.25">
      <c r="A175" s="7"/>
      <c r="B175" s="6">
        <f t="shared" si="10"/>
        <v>166</v>
      </c>
      <c r="C175" s="1">
        <f t="shared" si="11"/>
        <v>19473104.75690509</v>
      </c>
      <c r="D175" s="5">
        <f t="shared" si="12"/>
        <v>1014800384.4581889</v>
      </c>
      <c r="E175" s="5">
        <f t="shared" si="13"/>
        <v>9232773.1805180218</v>
      </c>
      <c r="F175" s="1">
        <f t="shared" si="14"/>
        <v>10240331.576387068</v>
      </c>
    </row>
    <row r="176" spans="1:6" x14ac:dyDescent="0.25">
      <c r="A176" s="7"/>
      <c r="B176" s="6">
        <f t="shared" si="10"/>
        <v>167</v>
      </c>
      <c r="C176" s="1">
        <f t="shared" si="11"/>
        <v>19473104.75690509</v>
      </c>
      <c r="D176" s="5">
        <f t="shared" si="12"/>
        <v>1005475283.5458657</v>
      </c>
      <c r="E176" s="5">
        <f t="shared" si="13"/>
        <v>9325100.9123232011</v>
      </c>
      <c r="F176" s="1">
        <f t="shared" si="14"/>
        <v>10148003.844581889</v>
      </c>
    </row>
    <row r="177" spans="1:6" x14ac:dyDescent="0.25">
      <c r="A177" s="7"/>
      <c r="B177" s="6">
        <f t="shared" si="10"/>
        <v>168</v>
      </c>
      <c r="C177" s="1">
        <f t="shared" si="11"/>
        <v>19473104.75690509</v>
      </c>
      <c r="D177" s="5">
        <f t="shared" si="12"/>
        <v>996056931.62441921</v>
      </c>
      <c r="E177" s="5">
        <f t="shared" si="13"/>
        <v>9418351.9214464333</v>
      </c>
      <c r="F177" s="1">
        <f t="shared" si="14"/>
        <v>10054752.835458657</v>
      </c>
    </row>
    <row r="178" spans="1:6" x14ac:dyDescent="0.25">
      <c r="A178" s="7" t="s">
        <v>36</v>
      </c>
      <c r="B178" s="6">
        <f t="shared" si="10"/>
        <v>169</v>
      </c>
      <c r="C178" s="1">
        <f t="shared" si="11"/>
        <v>19473104.75690509</v>
      </c>
      <c r="D178" s="5">
        <f t="shared" si="12"/>
        <v>986544396.18375826</v>
      </c>
      <c r="E178" s="5">
        <f t="shared" si="13"/>
        <v>9512535.4406608995</v>
      </c>
      <c r="F178" s="1">
        <f t="shared" si="14"/>
        <v>9960569.3162441906</v>
      </c>
    </row>
    <row r="179" spans="1:6" x14ac:dyDescent="0.25">
      <c r="A179" s="7"/>
      <c r="B179" s="6">
        <f t="shared" si="10"/>
        <v>170</v>
      </c>
      <c r="C179" s="1">
        <f t="shared" si="11"/>
        <v>19473104.75690509</v>
      </c>
      <c r="D179" s="5">
        <f t="shared" si="12"/>
        <v>976936735.38869071</v>
      </c>
      <c r="E179" s="5">
        <f t="shared" si="13"/>
        <v>9607660.7950675078</v>
      </c>
      <c r="F179" s="1">
        <f t="shared" si="14"/>
        <v>9865443.9618375823</v>
      </c>
    </row>
    <row r="180" spans="1:6" x14ac:dyDescent="0.25">
      <c r="A180" s="7"/>
      <c r="B180" s="6">
        <f t="shared" si="10"/>
        <v>171</v>
      </c>
      <c r="C180" s="1">
        <f t="shared" si="11"/>
        <v>19473104.75690509</v>
      </c>
      <c r="D180" s="5">
        <f t="shared" si="12"/>
        <v>967232997.98567247</v>
      </c>
      <c r="E180" s="5">
        <f t="shared" si="13"/>
        <v>9703737.4030181821</v>
      </c>
      <c r="F180" s="1">
        <f t="shared" si="14"/>
        <v>9769367.3538869079</v>
      </c>
    </row>
    <row r="181" spans="1:6" x14ac:dyDescent="0.25">
      <c r="A181" s="7"/>
      <c r="B181" s="6">
        <f t="shared" si="10"/>
        <v>172</v>
      </c>
      <c r="C181" s="1">
        <f t="shared" si="11"/>
        <v>19473104.75690509</v>
      </c>
      <c r="D181" s="5">
        <f t="shared" si="12"/>
        <v>957432223.20862412</v>
      </c>
      <c r="E181" s="5">
        <f t="shared" si="13"/>
        <v>9800774.7770483661</v>
      </c>
      <c r="F181" s="1">
        <f t="shared" si="14"/>
        <v>9672329.9798567239</v>
      </c>
    </row>
    <row r="182" spans="1:6" x14ac:dyDescent="0.25">
      <c r="A182" s="7"/>
      <c r="B182" s="6">
        <f t="shared" si="10"/>
        <v>173</v>
      </c>
      <c r="C182" s="1">
        <f t="shared" si="11"/>
        <v>19473104.75690509</v>
      </c>
      <c r="D182" s="5">
        <f t="shared" si="12"/>
        <v>947533440.68380523</v>
      </c>
      <c r="E182" s="5">
        <f t="shared" si="13"/>
        <v>9898782.5248188488</v>
      </c>
      <c r="F182" s="1">
        <f t="shared" si="14"/>
        <v>9574322.2320862412</v>
      </c>
    </row>
    <row r="183" spans="1:6" x14ac:dyDescent="0.25">
      <c r="A183" s="7"/>
      <c r="B183" s="6">
        <f t="shared" si="10"/>
        <v>174</v>
      </c>
      <c r="C183" s="1">
        <f t="shared" si="11"/>
        <v>19473104.75690509</v>
      </c>
      <c r="D183" s="5">
        <f t="shared" si="12"/>
        <v>937535670.33373821</v>
      </c>
      <c r="E183" s="5">
        <f t="shared" si="13"/>
        <v>9997770.3500670381</v>
      </c>
      <c r="F183" s="1">
        <f t="shared" si="14"/>
        <v>9475334.406838052</v>
      </c>
    </row>
    <row r="184" spans="1:6" x14ac:dyDescent="0.25">
      <c r="A184" s="7"/>
      <c r="B184" s="6">
        <f t="shared" si="10"/>
        <v>175</v>
      </c>
      <c r="C184" s="1">
        <f t="shared" si="11"/>
        <v>19473104.75690509</v>
      </c>
      <c r="D184" s="5">
        <f t="shared" si="12"/>
        <v>927437922.28017044</v>
      </c>
      <c r="E184" s="5">
        <f t="shared" si="13"/>
        <v>10097748.053567709</v>
      </c>
      <c r="F184" s="1">
        <f t="shared" si="14"/>
        <v>9375356.7033373807</v>
      </c>
    </row>
    <row r="185" spans="1:6" x14ac:dyDescent="0.25">
      <c r="A185" s="7"/>
      <c r="B185" s="6">
        <f t="shared" si="10"/>
        <v>176</v>
      </c>
      <c r="C185" s="1">
        <f t="shared" si="11"/>
        <v>19473104.75690509</v>
      </c>
      <c r="D185" s="5">
        <f t="shared" si="12"/>
        <v>917239196.74606705</v>
      </c>
      <c r="E185" s="5">
        <f t="shared" si="13"/>
        <v>10198725.534103386</v>
      </c>
      <c r="F185" s="1">
        <f t="shared" si="14"/>
        <v>9274379.222801704</v>
      </c>
    </row>
    <row r="186" spans="1:6" x14ac:dyDescent="0.25">
      <c r="A186" s="7"/>
      <c r="B186" s="6">
        <f t="shared" si="10"/>
        <v>177</v>
      </c>
      <c r="C186" s="1">
        <f t="shared" si="11"/>
        <v>19473104.75690509</v>
      </c>
      <c r="D186" s="5">
        <f t="shared" si="12"/>
        <v>906938483.9566226</v>
      </c>
      <c r="E186" s="5">
        <f t="shared" si="13"/>
        <v>10300712.78944442</v>
      </c>
      <c r="F186" s="1">
        <f t="shared" si="14"/>
        <v>9172391.9674606696</v>
      </c>
    </row>
    <row r="187" spans="1:6" x14ac:dyDescent="0.25">
      <c r="A187" s="7"/>
      <c r="B187" s="6">
        <f t="shared" si="10"/>
        <v>178</v>
      </c>
      <c r="C187" s="1">
        <f t="shared" si="11"/>
        <v>19473104.75690509</v>
      </c>
      <c r="D187" s="5">
        <f t="shared" si="12"/>
        <v>896534764.03928375</v>
      </c>
      <c r="E187" s="5">
        <f t="shared" si="13"/>
        <v>10403719.917338865</v>
      </c>
      <c r="F187" s="1">
        <f t="shared" si="14"/>
        <v>9069384.8395662252</v>
      </c>
    </row>
    <row r="188" spans="1:6" x14ac:dyDescent="0.25">
      <c r="A188" s="7"/>
      <c r="B188" s="6">
        <f t="shared" si="10"/>
        <v>179</v>
      </c>
      <c r="C188" s="1">
        <f t="shared" si="11"/>
        <v>19473104.75690509</v>
      </c>
      <c r="D188" s="5">
        <f t="shared" si="12"/>
        <v>886027006.92277145</v>
      </c>
      <c r="E188" s="5">
        <f t="shared" si="13"/>
        <v>10507757.116512252</v>
      </c>
      <c r="F188" s="1">
        <f t="shared" si="14"/>
        <v>8965347.640392838</v>
      </c>
    </row>
    <row r="189" spans="1:6" x14ac:dyDescent="0.25">
      <c r="A189" s="7"/>
      <c r="B189" s="6">
        <f t="shared" si="10"/>
        <v>180</v>
      </c>
      <c r="C189" s="1">
        <f t="shared" si="11"/>
        <v>19473104.75690509</v>
      </c>
      <c r="D189" s="5">
        <f t="shared" si="12"/>
        <v>875414172.23509407</v>
      </c>
      <c r="E189" s="5">
        <f t="shared" si="13"/>
        <v>10612834.687677376</v>
      </c>
      <c r="F189" s="1">
        <f t="shared" si="14"/>
        <v>8860270.0692277141</v>
      </c>
    </row>
    <row r="190" spans="1:6" x14ac:dyDescent="0.25">
      <c r="A190" s="7" t="s">
        <v>37</v>
      </c>
      <c r="B190" s="6">
        <f t="shared" si="10"/>
        <v>181</v>
      </c>
      <c r="C190" s="1">
        <f t="shared" si="11"/>
        <v>19473104.75690509</v>
      </c>
      <c r="D190" s="5">
        <f t="shared" si="12"/>
        <v>864695209.20053995</v>
      </c>
      <c r="E190" s="5">
        <f t="shared" si="13"/>
        <v>10718963.03455415</v>
      </c>
      <c r="F190" s="1">
        <f t="shared" si="14"/>
        <v>8754141.7223509401</v>
      </c>
    </row>
    <row r="191" spans="1:6" x14ac:dyDescent="0.25">
      <c r="A191" s="7"/>
      <c r="B191" s="6">
        <f t="shared" si="10"/>
        <v>182</v>
      </c>
      <c r="C191" s="1">
        <f t="shared" si="11"/>
        <v>19473104.75690509</v>
      </c>
      <c r="D191" s="5">
        <f t="shared" si="12"/>
        <v>853869056.53564024</v>
      </c>
      <c r="E191" s="5">
        <f t="shared" si="13"/>
        <v>10826152.66489969</v>
      </c>
      <c r="F191" s="1">
        <f t="shared" si="14"/>
        <v>8646952.0920054</v>
      </c>
    </row>
    <row r="192" spans="1:6" x14ac:dyDescent="0.25">
      <c r="A192" s="7"/>
      <c r="B192" s="6">
        <f t="shared" si="10"/>
        <v>183</v>
      </c>
      <c r="C192" s="1">
        <f t="shared" si="11"/>
        <v>19473104.75690509</v>
      </c>
      <c r="D192" s="5">
        <f t="shared" si="12"/>
        <v>842934642.34409153</v>
      </c>
      <c r="E192" s="5">
        <f t="shared" si="13"/>
        <v>10934414.191548688</v>
      </c>
      <c r="F192" s="1">
        <f t="shared" si="14"/>
        <v>8538690.5653564017</v>
      </c>
    </row>
    <row r="193" spans="1:6" x14ac:dyDescent="0.25">
      <c r="A193" s="7"/>
      <c r="B193" s="6">
        <f t="shared" si="10"/>
        <v>184</v>
      </c>
      <c r="C193" s="1">
        <f t="shared" si="11"/>
        <v>19473104.75690509</v>
      </c>
      <c r="D193" s="5">
        <f t="shared" si="12"/>
        <v>831890884.01062739</v>
      </c>
      <c r="E193" s="5">
        <f t="shared" si="13"/>
        <v>11043758.333464175</v>
      </c>
      <c r="F193" s="1">
        <f t="shared" si="14"/>
        <v>8429346.4234409146</v>
      </c>
    </row>
    <row r="194" spans="1:6" x14ac:dyDescent="0.25">
      <c r="A194" s="7"/>
      <c r="B194" s="6">
        <f t="shared" si="10"/>
        <v>185</v>
      </c>
      <c r="C194" s="1">
        <f t="shared" si="11"/>
        <v>19473104.75690509</v>
      </c>
      <c r="D194" s="5">
        <f t="shared" si="12"/>
        <v>820736688.09382856</v>
      </c>
      <c r="E194" s="5">
        <f t="shared" si="13"/>
        <v>11154195.916798815</v>
      </c>
      <c r="F194" s="1">
        <f t="shared" si="14"/>
        <v>8318908.840106274</v>
      </c>
    </row>
    <row r="195" spans="1:6" x14ac:dyDescent="0.25">
      <c r="A195" s="7"/>
      <c r="B195" s="6">
        <f t="shared" si="10"/>
        <v>186</v>
      </c>
      <c r="C195" s="1">
        <f t="shared" si="11"/>
        <v>19473104.75690509</v>
      </c>
      <c r="D195" s="5">
        <f t="shared" si="12"/>
        <v>809470950.21786177</v>
      </c>
      <c r="E195" s="5">
        <f t="shared" si="13"/>
        <v>11265737.875966806</v>
      </c>
      <c r="F195" s="1">
        <f t="shared" si="14"/>
        <v>8207366.880938285</v>
      </c>
    </row>
    <row r="196" spans="1:6" x14ac:dyDescent="0.25">
      <c r="A196" s="7"/>
      <c r="B196" s="6">
        <f t="shared" si="10"/>
        <v>187</v>
      </c>
      <c r="C196" s="1">
        <f t="shared" si="11"/>
        <v>19473104.75690509</v>
      </c>
      <c r="D196" s="5">
        <f t="shared" si="12"/>
        <v>798092554.96313524</v>
      </c>
      <c r="E196" s="5">
        <f t="shared" si="13"/>
        <v>11378395.254726473</v>
      </c>
      <c r="F196" s="1">
        <f t="shared" si="14"/>
        <v>8094709.5021786168</v>
      </c>
    </row>
    <row r="197" spans="1:6" x14ac:dyDescent="0.25">
      <c r="A197" s="7"/>
      <c r="B197" s="6">
        <f t="shared" si="10"/>
        <v>188</v>
      </c>
      <c r="C197" s="1">
        <f t="shared" si="11"/>
        <v>19473104.75690509</v>
      </c>
      <c r="D197" s="5">
        <f t="shared" si="12"/>
        <v>786600375.75586152</v>
      </c>
      <c r="E197" s="5">
        <f t="shared" si="13"/>
        <v>11492179.207273737</v>
      </c>
      <c r="F197" s="1">
        <f t="shared" si="14"/>
        <v>7980925.5496313525</v>
      </c>
    </row>
    <row r="198" spans="1:6" x14ac:dyDescent="0.25">
      <c r="A198" s="7"/>
      <c r="B198" s="6">
        <f t="shared" si="10"/>
        <v>189</v>
      </c>
      <c r="C198" s="1">
        <f t="shared" si="11"/>
        <v>19473104.75690509</v>
      </c>
      <c r="D198" s="5">
        <f t="shared" si="12"/>
        <v>774993274.75651503</v>
      </c>
      <c r="E198" s="5">
        <f t="shared" si="13"/>
        <v>11607100.999346476</v>
      </c>
      <c r="F198" s="1">
        <f t="shared" si="14"/>
        <v>7866003.7575586149</v>
      </c>
    </row>
    <row r="199" spans="1:6" x14ac:dyDescent="0.25">
      <c r="A199" s="7"/>
      <c r="B199" s="6">
        <f t="shared" si="10"/>
        <v>190</v>
      </c>
      <c r="C199" s="1">
        <f t="shared" si="11"/>
        <v>19473104.75690509</v>
      </c>
      <c r="D199" s="5">
        <f t="shared" si="12"/>
        <v>763270102.7471751</v>
      </c>
      <c r="E199" s="5">
        <f t="shared" si="13"/>
        <v>11723172.00933994</v>
      </c>
      <c r="F199" s="1">
        <f t="shared" si="14"/>
        <v>7749932.7475651503</v>
      </c>
    </row>
    <row r="200" spans="1:6" x14ac:dyDescent="0.25">
      <c r="A200" s="7"/>
      <c r="B200" s="6">
        <f t="shared" si="10"/>
        <v>191</v>
      </c>
      <c r="C200" s="1">
        <f t="shared" si="11"/>
        <v>19473104.75690509</v>
      </c>
      <c r="D200" s="5">
        <f t="shared" si="12"/>
        <v>751429699.0177418</v>
      </c>
      <c r="E200" s="5">
        <f t="shared" si="13"/>
        <v>11840403.729433339</v>
      </c>
      <c r="F200" s="1">
        <f t="shared" si="14"/>
        <v>7632701.027471751</v>
      </c>
    </row>
    <row r="201" spans="1:6" x14ac:dyDescent="0.25">
      <c r="A201" s="7"/>
      <c r="B201" s="6">
        <f t="shared" si="10"/>
        <v>192</v>
      </c>
      <c r="C201" s="1">
        <f t="shared" si="11"/>
        <v>19473104.75690509</v>
      </c>
      <c r="D201" s="5">
        <f t="shared" si="12"/>
        <v>739470891.25101411</v>
      </c>
      <c r="E201" s="5">
        <f t="shared" si="13"/>
        <v>11958807.766727671</v>
      </c>
      <c r="F201" s="1">
        <f t="shared" si="14"/>
        <v>7514296.9901774181</v>
      </c>
    </row>
    <row r="202" spans="1:6" x14ac:dyDescent="0.25">
      <c r="A202" s="7" t="s">
        <v>38</v>
      </c>
      <c r="B202" s="6">
        <f t="shared" si="10"/>
        <v>193</v>
      </c>
      <c r="C202" s="1">
        <f t="shared" si="11"/>
        <v>19473104.75690509</v>
      </c>
      <c r="D202" s="5">
        <f t="shared" si="12"/>
        <v>727392495.40661919</v>
      </c>
      <c r="E202" s="5">
        <f t="shared" si="13"/>
        <v>12078395.844394948</v>
      </c>
      <c r="F202" s="1">
        <f t="shared" si="14"/>
        <v>7394708.9125101408</v>
      </c>
    </row>
    <row r="203" spans="1:6" x14ac:dyDescent="0.25">
      <c r="A203" s="7"/>
      <c r="B203" s="6">
        <f t="shared" ref="B203:B255" si="15">B202+1</f>
        <v>194</v>
      </c>
      <c r="C203" s="1">
        <f t="shared" ref="C203:C249" si="16">IF(AND($F$1&lt;=$B$2,B203&lt;=$F$1),($B$1*($B$3/12))/(1-1/(1+$B$3/12)^$B$2),($B$5*($B$4/12))/(1-1/(1+$B$4/12)^$F$2))</f>
        <v>19473104.75690509</v>
      </c>
      <c r="D203" s="5">
        <f t="shared" ref="D203:D249" si="17">D202-E203</f>
        <v>715193315.60378027</v>
      </c>
      <c r="E203" s="5">
        <f t="shared" ref="E203:E249" si="18">C203-F203</f>
        <v>12199179.802838899</v>
      </c>
      <c r="F203" s="1">
        <f t="shared" ref="F203:F249" si="19">IF(B203&lt;=$F$1,D202*$B$3/12,D202*$B$4/12)</f>
        <v>7273924.9540661918</v>
      </c>
    </row>
    <row r="204" spans="1:6" x14ac:dyDescent="0.25">
      <c r="A204" s="7"/>
      <c r="B204" s="6">
        <f t="shared" si="15"/>
        <v>195</v>
      </c>
      <c r="C204" s="1">
        <f t="shared" si="16"/>
        <v>19473104.75690509</v>
      </c>
      <c r="D204" s="5">
        <f t="shared" si="17"/>
        <v>702872144.002913</v>
      </c>
      <c r="E204" s="5">
        <f t="shared" si="18"/>
        <v>12321171.600867286</v>
      </c>
      <c r="F204" s="1">
        <f t="shared" si="19"/>
        <v>7151933.1560378028</v>
      </c>
    </row>
    <row r="205" spans="1:6" x14ac:dyDescent="0.25">
      <c r="A205" s="7"/>
      <c r="B205" s="6">
        <f t="shared" si="15"/>
        <v>196</v>
      </c>
      <c r="C205" s="1">
        <f t="shared" si="16"/>
        <v>19473104.75690509</v>
      </c>
      <c r="D205" s="5">
        <f t="shared" si="17"/>
        <v>690427760.68603706</v>
      </c>
      <c r="E205" s="5">
        <f t="shared" si="18"/>
        <v>12444383.316875961</v>
      </c>
      <c r="F205" s="1">
        <f t="shared" si="19"/>
        <v>7028721.4400291294</v>
      </c>
    </row>
    <row r="206" spans="1:6" x14ac:dyDescent="0.25">
      <c r="A206" s="7"/>
      <c r="B206" s="6">
        <f t="shared" si="15"/>
        <v>197</v>
      </c>
      <c r="C206" s="1">
        <f t="shared" si="16"/>
        <v>19473104.75690509</v>
      </c>
      <c r="D206" s="5">
        <f t="shared" si="17"/>
        <v>677858933.53599238</v>
      </c>
      <c r="E206" s="5">
        <f t="shared" si="18"/>
        <v>12568827.150044721</v>
      </c>
      <c r="F206" s="1">
        <f t="shared" si="19"/>
        <v>6904277.6068603704</v>
      </c>
    </row>
    <row r="207" spans="1:6" x14ac:dyDescent="0.25">
      <c r="A207" s="7"/>
      <c r="B207" s="6">
        <f t="shared" si="15"/>
        <v>198</v>
      </c>
      <c r="C207" s="1">
        <f t="shared" si="16"/>
        <v>19473104.75690509</v>
      </c>
      <c r="D207" s="5">
        <f t="shared" si="17"/>
        <v>665164418.11444724</v>
      </c>
      <c r="E207" s="5">
        <f t="shared" si="18"/>
        <v>12694515.421545167</v>
      </c>
      <c r="F207" s="1">
        <f t="shared" si="19"/>
        <v>6778589.3353599235</v>
      </c>
    </row>
    <row r="208" spans="1:6" x14ac:dyDescent="0.25">
      <c r="A208" s="7"/>
      <c r="B208" s="6">
        <f t="shared" si="15"/>
        <v>199</v>
      </c>
      <c r="C208" s="1">
        <f t="shared" si="16"/>
        <v>19473104.75690509</v>
      </c>
      <c r="D208" s="5">
        <f t="shared" si="17"/>
        <v>652342957.53868663</v>
      </c>
      <c r="E208" s="5">
        <f t="shared" si="18"/>
        <v>12821460.575760618</v>
      </c>
      <c r="F208" s="1">
        <f t="shared" si="19"/>
        <v>6651644.1811444722</v>
      </c>
    </row>
    <row r="209" spans="1:6" x14ac:dyDescent="0.25">
      <c r="A209" s="7"/>
      <c r="B209" s="6">
        <f t="shared" si="15"/>
        <v>200</v>
      </c>
      <c r="C209" s="1">
        <f t="shared" si="16"/>
        <v>19473104.75690509</v>
      </c>
      <c r="D209" s="5">
        <f t="shared" si="17"/>
        <v>639393282.35716844</v>
      </c>
      <c r="E209" s="5">
        <f t="shared" si="18"/>
        <v>12949675.181518223</v>
      </c>
      <c r="F209" s="1">
        <f t="shared" si="19"/>
        <v>6523429.575386866</v>
      </c>
    </row>
    <row r="210" spans="1:6" x14ac:dyDescent="0.25">
      <c r="A210" s="7"/>
      <c r="B210" s="6">
        <f t="shared" si="15"/>
        <v>201</v>
      </c>
      <c r="C210" s="1">
        <f t="shared" si="16"/>
        <v>19473104.75690509</v>
      </c>
      <c r="D210" s="5">
        <f t="shared" si="17"/>
        <v>626314110.42383504</v>
      </c>
      <c r="E210" s="5">
        <f t="shared" si="18"/>
        <v>13079171.933333404</v>
      </c>
      <c r="F210" s="1">
        <f t="shared" si="19"/>
        <v>6393932.8235716848</v>
      </c>
    </row>
    <row r="211" spans="1:6" x14ac:dyDescent="0.25">
      <c r="A211" s="7"/>
      <c r="B211" s="6">
        <f t="shared" si="15"/>
        <v>202</v>
      </c>
      <c r="C211" s="1">
        <f t="shared" si="16"/>
        <v>19473104.75690509</v>
      </c>
      <c r="D211" s="5">
        <f t="shared" si="17"/>
        <v>613104146.77116835</v>
      </c>
      <c r="E211" s="5">
        <f t="shared" si="18"/>
        <v>13209963.65266674</v>
      </c>
      <c r="F211" s="1">
        <f t="shared" si="19"/>
        <v>6263141.1042383499</v>
      </c>
    </row>
    <row r="212" spans="1:6" x14ac:dyDescent="0.25">
      <c r="A212" s="7"/>
      <c r="B212" s="6">
        <f t="shared" si="15"/>
        <v>203</v>
      </c>
      <c r="C212" s="1">
        <f t="shared" si="16"/>
        <v>19473104.75690509</v>
      </c>
      <c r="D212" s="5">
        <f t="shared" si="17"/>
        <v>599762083.48197496</v>
      </c>
      <c r="E212" s="5">
        <f t="shared" si="18"/>
        <v>13342063.289193407</v>
      </c>
      <c r="F212" s="1">
        <f t="shared" si="19"/>
        <v>6131041.4677116834</v>
      </c>
    </row>
    <row r="213" spans="1:6" x14ac:dyDescent="0.25">
      <c r="A213" s="7"/>
      <c r="B213" s="6">
        <f t="shared" si="15"/>
        <v>204</v>
      </c>
      <c r="C213" s="1">
        <f t="shared" si="16"/>
        <v>19473104.75690509</v>
      </c>
      <c r="D213" s="5">
        <f t="shared" si="17"/>
        <v>586286599.55988967</v>
      </c>
      <c r="E213" s="5">
        <f t="shared" si="18"/>
        <v>13475483.922085341</v>
      </c>
      <c r="F213" s="1">
        <f t="shared" si="19"/>
        <v>5997620.834819749</v>
      </c>
    </row>
    <row r="214" spans="1:6" x14ac:dyDescent="0.25">
      <c r="A214" s="7" t="s">
        <v>39</v>
      </c>
      <c r="B214" s="6">
        <f t="shared" si="15"/>
        <v>205</v>
      </c>
      <c r="C214" s="1">
        <f t="shared" si="16"/>
        <v>19473104.75690509</v>
      </c>
      <c r="D214" s="5">
        <f t="shared" si="17"/>
        <v>572676360.79858351</v>
      </c>
      <c r="E214" s="5">
        <f t="shared" si="18"/>
        <v>13610238.761306193</v>
      </c>
      <c r="F214" s="1">
        <f t="shared" si="19"/>
        <v>5862865.9955988964</v>
      </c>
    </row>
    <row r="215" spans="1:6" x14ac:dyDescent="0.25">
      <c r="A215" s="7"/>
      <c r="B215" s="6">
        <f t="shared" si="15"/>
        <v>206</v>
      </c>
      <c r="C215" s="1">
        <f t="shared" si="16"/>
        <v>19473104.75690509</v>
      </c>
      <c r="D215" s="5">
        <f t="shared" si="17"/>
        <v>558930019.64966428</v>
      </c>
      <c r="E215" s="5">
        <f t="shared" si="18"/>
        <v>13746341.148919255</v>
      </c>
      <c r="F215" s="1">
        <f t="shared" si="19"/>
        <v>5726763.6079858346</v>
      </c>
    </row>
    <row r="216" spans="1:6" x14ac:dyDescent="0.25">
      <c r="A216" s="7"/>
      <c r="B216" s="6">
        <f t="shared" si="15"/>
        <v>207</v>
      </c>
      <c r="C216" s="1">
        <f t="shared" si="16"/>
        <v>19473104.75690509</v>
      </c>
      <c r="D216" s="5">
        <f t="shared" si="17"/>
        <v>545046215.08925581</v>
      </c>
      <c r="E216" s="5">
        <f t="shared" si="18"/>
        <v>13883804.560408447</v>
      </c>
      <c r="F216" s="1">
        <f t="shared" si="19"/>
        <v>5589300.1964966422</v>
      </c>
    </row>
    <row r="217" spans="1:6" x14ac:dyDescent="0.25">
      <c r="A217" s="7"/>
      <c r="B217" s="6">
        <f t="shared" si="15"/>
        <v>208</v>
      </c>
      <c r="C217" s="1">
        <f t="shared" si="16"/>
        <v>19473104.75690509</v>
      </c>
      <c r="D217" s="5">
        <f t="shared" si="17"/>
        <v>531023572.48324329</v>
      </c>
      <c r="E217" s="5">
        <f t="shared" si="18"/>
        <v>14022642.606012531</v>
      </c>
      <c r="F217" s="1">
        <f t="shared" si="19"/>
        <v>5450462.1508925585</v>
      </c>
    </row>
    <row r="218" spans="1:6" x14ac:dyDescent="0.25">
      <c r="A218" s="7"/>
      <c r="B218" s="6">
        <f t="shared" si="15"/>
        <v>209</v>
      </c>
      <c r="C218" s="1">
        <f t="shared" si="16"/>
        <v>19473104.75690509</v>
      </c>
      <c r="D218" s="5">
        <f t="shared" si="17"/>
        <v>516860703.45117062</v>
      </c>
      <c r="E218" s="5">
        <f t="shared" si="18"/>
        <v>14162869.032072656</v>
      </c>
      <c r="F218" s="1">
        <f t="shared" si="19"/>
        <v>5310235.7248324333</v>
      </c>
    </row>
    <row r="219" spans="1:6" x14ac:dyDescent="0.25">
      <c r="A219" s="7"/>
      <c r="B219" s="6">
        <f t="shared" si="15"/>
        <v>210</v>
      </c>
      <c r="C219" s="1">
        <f t="shared" si="16"/>
        <v>19473104.75690509</v>
      </c>
      <c r="D219" s="5">
        <f t="shared" si="17"/>
        <v>502556205.72877723</v>
      </c>
      <c r="E219" s="5">
        <f t="shared" si="18"/>
        <v>14304497.722393384</v>
      </c>
      <c r="F219" s="1">
        <f t="shared" si="19"/>
        <v>5168607.0345117059</v>
      </c>
    </row>
    <row r="220" spans="1:6" x14ac:dyDescent="0.25">
      <c r="A220" s="7"/>
      <c r="B220" s="6">
        <f t="shared" si="15"/>
        <v>211</v>
      </c>
      <c r="C220" s="1">
        <f t="shared" si="16"/>
        <v>19473104.75690509</v>
      </c>
      <c r="D220" s="5">
        <f t="shared" si="17"/>
        <v>488108663.0291599</v>
      </c>
      <c r="E220" s="5">
        <f t="shared" si="18"/>
        <v>14447542.699617319</v>
      </c>
      <c r="F220" s="1">
        <f t="shared" si="19"/>
        <v>5025562.0572877722</v>
      </c>
    </row>
    <row r="221" spans="1:6" x14ac:dyDescent="0.25">
      <c r="A221" s="7"/>
      <c r="B221" s="6">
        <f t="shared" si="15"/>
        <v>212</v>
      </c>
      <c r="C221" s="1">
        <f t="shared" si="16"/>
        <v>19473104.75690509</v>
      </c>
      <c r="D221" s="5">
        <f t="shared" si="17"/>
        <v>473516644.90254641</v>
      </c>
      <c r="E221" s="5">
        <f t="shared" si="18"/>
        <v>14592018.12661349</v>
      </c>
      <c r="F221" s="1">
        <f t="shared" si="19"/>
        <v>4881086.6302915988</v>
      </c>
    </row>
    <row r="222" spans="1:6" x14ac:dyDescent="0.25">
      <c r="A222" s="7"/>
      <c r="B222" s="6">
        <f t="shared" si="15"/>
        <v>213</v>
      </c>
      <c r="C222" s="1">
        <f t="shared" si="16"/>
        <v>19473104.75690509</v>
      </c>
      <c r="D222" s="5">
        <f t="shared" si="17"/>
        <v>458778706.59466678</v>
      </c>
      <c r="E222" s="5">
        <f t="shared" si="18"/>
        <v>14737938.307879627</v>
      </c>
      <c r="F222" s="1">
        <f t="shared" si="19"/>
        <v>4735166.4490254642</v>
      </c>
    </row>
    <row r="223" spans="1:6" x14ac:dyDescent="0.25">
      <c r="A223" s="7"/>
      <c r="B223" s="6">
        <f t="shared" si="15"/>
        <v>214</v>
      </c>
      <c r="C223" s="1">
        <f t="shared" si="16"/>
        <v>19473104.75690509</v>
      </c>
      <c r="D223" s="5">
        <f t="shared" si="17"/>
        <v>443893388.90370834</v>
      </c>
      <c r="E223" s="5">
        <f t="shared" si="18"/>
        <v>14885317.690958422</v>
      </c>
      <c r="F223" s="1">
        <f t="shared" si="19"/>
        <v>4587787.0659466675</v>
      </c>
    </row>
    <row r="224" spans="1:6" x14ac:dyDescent="0.25">
      <c r="A224" s="7"/>
      <c r="B224" s="6">
        <f t="shared" si="15"/>
        <v>215</v>
      </c>
      <c r="C224" s="1">
        <f t="shared" si="16"/>
        <v>19473104.75690509</v>
      </c>
      <c r="D224" s="5">
        <f t="shared" si="17"/>
        <v>428859218.03584033</v>
      </c>
      <c r="E224" s="5">
        <f t="shared" si="18"/>
        <v>15034170.867868006</v>
      </c>
      <c r="F224" s="1">
        <f t="shared" si="19"/>
        <v>4438933.8890370829</v>
      </c>
    </row>
    <row r="225" spans="1:6" x14ac:dyDescent="0.25">
      <c r="A225" s="7"/>
      <c r="B225" s="6">
        <f t="shared" si="15"/>
        <v>216</v>
      </c>
      <c r="C225" s="1">
        <f t="shared" si="16"/>
        <v>19473104.75690509</v>
      </c>
      <c r="D225" s="5">
        <f t="shared" si="17"/>
        <v>413674705.45929366</v>
      </c>
      <c r="E225" s="5">
        <f t="shared" si="18"/>
        <v>15184512.576546688</v>
      </c>
      <c r="F225" s="1">
        <f t="shared" si="19"/>
        <v>4288592.1803584034</v>
      </c>
    </row>
    <row r="226" spans="1:6" x14ac:dyDescent="0.25">
      <c r="A226" s="7" t="s">
        <v>40</v>
      </c>
      <c r="B226" s="6">
        <f t="shared" si="15"/>
        <v>217</v>
      </c>
      <c r="C226" s="1">
        <f t="shared" si="16"/>
        <v>19473104.75690509</v>
      </c>
      <c r="D226" s="5">
        <f t="shared" si="17"/>
        <v>398338347.75698149</v>
      </c>
      <c r="E226" s="5">
        <f t="shared" si="18"/>
        <v>15336357.702312153</v>
      </c>
      <c r="F226" s="1">
        <f t="shared" si="19"/>
        <v>4136747.0545929368</v>
      </c>
    </row>
    <row r="227" spans="1:6" x14ac:dyDescent="0.25">
      <c r="A227" s="7"/>
      <c r="B227" s="6">
        <f t="shared" si="15"/>
        <v>218</v>
      </c>
      <c r="C227" s="1">
        <f t="shared" si="16"/>
        <v>19473104.75690509</v>
      </c>
      <c r="D227" s="5">
        <f t="shared" si="17"/>
        <v>382848626.47764623</v>
      </c>
      <c r="E227" s="5">
        <f t="shared" si="18"/>
        <v>15489721.279335275</v>
      </c>
      <c r="F227" s="1">
        <f t="shared" si="19"/>
        <v>3983383.4775698148</v>
      </c>
    </row>
    <row r="228" spans="1:6" x14ac:dyDescent="0.25">
      <c r="A228" s="7"/>
      <c r="B228" s="6">
        <f t="shared" si="15"/>
        <v>219</v>
      </c>
      <c r="C228" s="1">
        <f t="shared" si="16"/>
        <v>19473104.75690509</v>
      </c>
      <c r="D228" s="5">
        <f t="shared" si="17"/>
        <v>367204007.98551762</v>
      </c>
      <c r="E228" s="5">
        <f t="shared" si="18"/>
        <v>15644618.492128627</v>
      </c>
      <c r="F228" s="1">
        <f t="shared" si="19"/>
        <v>3828486.2647764622</v>
      </c>
    </row>
    <row r="229" spans="1:6" x14ac:dyDescent="0.25">
      <c r="A229" s="7"/>
      <c r="B229" s="6">
        <f t="shared" si="15"/>
        <v>220</v>
      </c>
      <c r="C229" s="1">
        <f t="shared" si="16"/>
        <v>19473104.75690509</v>
      </c>
      <c r="D229" s="5">
        <f t="shared" si="17"/>
        <v>351402943.30846769</v>
      </c>
      <c r="E229" s="5">
        <f t="shared" si="18"/>
        <v>15801064.677049914</v>
      </c>
      <c r="F229" s="1">
        <f t="shared" si="19"/>
        <v>3672040.0798551762</v>
      </c>
    </row>
    <row r="230" spans="1:6" x14ac:dyDescent="0.25">
      <c r="A230" s="7"/>
      <c r="B230" s="6">
        <f t="shared" si="15"/>
        <v>221</v>
      </c>
      <c r="C230" s="1">
        <f t="shared" si="16"/>
        <v>19473104.75690509</v>
      </c>
      <c r="D230" s="5">
        <f t="shared" si="17"/>
        <v>335443867.98464727</v>
      </c>
      <c r="E230" s="5">
        <f t="shared" si="18"/>
        <v>15959075.323820414</v>
      </c>
      <c r="F230" s="1">
        <f t="shared" si="19"/>
        <v>3514029.4330846765</v>
      </c>
    </row>
    <row r="231" spans="1:6" x14ac:dyDescent="0.25">
      <c r="A231" s="7"/>
      <c r="B231" s="6">
        <f t="shared" si="15"/>
        <v>222</v>
      </c>
      <c r="C231" s="1">
        <f t="shared" si="16"/>
        <v>19473104.75690509</v>
      </c>
      <c r="D231" s="5">
        <f t="shared" si="17"/>
        <v>319325201.90758866</v>
      </c>
      <c r="E231" s="5">
        <f t="shared" si="18"/>
        <v>16118666.077058617</v>
      </c>
      <c r="F231" s="1">
        <f t="shared" si="19"/>
        <v>3354438.6798464726</v>
      </c>
    </row>
    <row r="232" spans="1:6" x14ac:dyDescent="0.25">
      <c r="A232" s="7"/>
      <c r="B232" s="6">
        <f t="shared" si="15"/>
        <v>223</v>
      </c>
      <c r="C232" s="1">
        <f t="shared" si="16"/>
        <v>19473104.75690509</v>
      </c>
      <c r="D232" s="5">
        <f t="shared" si="17"/>
        <v>303045349.16975945</v>
      </c>
      <c r="E232" s="5">
        <f t="shared" si="18"/>
        <v>16279852.737829203</v>
      </c>
      <c r="F232" s="1">
        <f t="shared" si="19"/>
        <v>3193252.0190758868</v>
      </c>
    </row>
    <row r="233" spans="1:6" x14ac:dyDescent="0.25">
      <c r="A233" s="7"/>
      <c r="B233" s="6">
        <f t="shared" si="15"/>
        <v>224</v>
      </c>
      <c r="C233" s="1">
        <f t="shared" si="16"/>
        <v>19473104.75690509</v>
      </c>
      <c r="D233" s="5">
        <f t="shared" si="17"/>
        <v>286602697.90455198</v>
      </c>
      <c r="E233" s="5">
        <f t="shared" si="18"/>
        <v>16442651.265207496</v>
      </c>
      <c r="F233" s="1">
        <f t="shared" si="19"/>
        <v>3030453.4916975945</v>
      </c>
    </row>
    <row r="234" spans="1:6" x14ac:dyDescent="0.25">
      <c r="A234" s="7"/>
      <c r="B234" s="6">
        <f t="shared" si="15"/>
        <v>225</v>
      </c>
      <c r="C234" s="1">
        <f t="shared" si="16"/>
        <v>19473104.75690509</v>
      </c>
      <c r="D234" s="5">
        <f t="shared" si="17"/>
        <v>269995620.12669241</v>
      </c>
      <c r="E234" s="5">
        <f t="shared" si="18"/>
        <v>16607077.77785957</v>
      </c>
      <c r="F234" s="1">
        <f t="shared" si="19"/>
        <v>2866026.9790455196</v>
      </c>
    </row>
    <row r="235" spans="1:6" x14ac:dyDescent="0.25">
      <c r="A235" s="7"/>
      <c r="B235" s="6">
        <f t="shared" si="15"/>
        <v>226</v>
      </c>
      <c r="C235" s="1">
        <f t="shared" si="16"/>
        <v>19473104.75690509</v>
      </c>
      <c r="D235" s="5">
        <f t="shared" si="17"/>
        <v>253222471.57105425</v>
      </c>
      <c r="E235" s="5">
        <f t="shared" si="18"/>
        <v>16773148.555638166</v>
      </c>
      <c r="F235" s="1">
        <f t="shared" si="19"/>
        <v>2699956.2012669239</v>
      </c>
    </row>
    <row r="236" spans="1:6" x14ac:dyDescent="0.25">
      <c r="A236" s="7"/>
      <c r="B236" s="6">
        <f t="shared" si="15"/>
        <v>227</v>
      </c>
      <c r="C236" s="1">
        <f t="shared" si="16"/>
        <v>19473104.75690509</v>
      </c>
      <c r="D236" s="5">
        <f t="shared" si="17"/>
        <v>236281591.52985969</v>
      </c>
      <c r="E236" s="5">
        <f t="shared" si="18"/>
        <v>16940880.041194547</v>
      </c>
      <c r="F236" s="1">
        <f t="shared" si="19"/>
        <v>2532224.7157105426</v>
      </c>
    </row>
    <row r="237" spans="1:6" x14ac:dyDescent="0.25">
      <c r="A237" s="7"/>
      <c r="B237" s="6">
        <f t="shared" si="15"/>
        <v>228</v>
      </c>
      <c r="C237" s="1">
        <f t="shared" si="16"/>
        <v>19473104.75690509</v>
      </c>
      <c r="D237" s="5">
        <f t="shared" si="17"/>
        <v>219171302.68825319</v>
      </c>
      <c r="E237" s="5">
        <f t="shared" si="18"/>
        <v>17110288.841606494</v>
      </c>
      <c r="F237" s="1">
        <f t="shared" si="19"/>
        <v>2362815.915298597</v>
      </c>
    </row>
    <row r="238" spans="1:6" x14ac:dyDescent="0.25">
      <c r="A238" s="7" t="s">
        <v>41</v>
      </c>
      <c r="B238" s="6">
        <f t="shared" si="15"/>
        <v>229</v>
      </c>
      <c r="C238" s="1">
        <f t="shared" si="16"/>
        <v>19473104.75690509</v>
      </c>
      <c r="D238" s="5">
        <f t="shared" si="17"/>
        <v>201889910.95823064</v>
      </c>
      <c r="E238" s="5">
        <f t="shared" si="18"/>
        <v>17281391.730022557</v>
      </c>
      <c r="F238" s="1">
        <f t="shared" si="19"/>
        <v>2191713.0268825316</v>
      </c>
    </row>
    <row r="239" spans="1:6" x14ac:dyDescent="0.25">
      <c r="A239" s="7"/>
      <c r="B239" s="6">
        <f t="shared" si="15"/>
        <v>230</v>
      </c>
      <c r="C239" s="1">
        <f t="shared" si="16"/>
        <v>19473104.75690509</v>
      </c>
      <c r="D239" s="5">
        <f t="shared" si="17"/>
        <v>184435705.31090787</v>
      </c>
      <c r="E239" s="5">
        <f t="shared" si="18"/>
        <v>17454205.647322785</v>
      </c>
      <c r="F239" s="1">
        <f t="shared" si="19"/>
        <v>2018899.1095823066</v>
      </c>
    </row>
    <row r="240" spans="1:6" x14ac:dyDescent="0.25">
      <c r="A240" s="7"/>
      <c r="B240" s="6">
        <f t="shared" si="15"/>
        <v>231</v>
      </c>
      <c r="C240" s="1">
        <f t="shared" si="16"/>
        <v>19473104.75690509</v>
      </c>
      <c r="D240" s="5">
        <f t="shared" si="17"/>
        <v>166806957.60711187</v>
      </c>
      <c r="E240" s="5">
        <f t="shared" si="18"/>
        <v>17628747.70379601</v>
      </c>
      <c r="F240" s="1">
        <f t="shared" si="19"/>
        <v>1844357.0531090787</v>
      </c>
    </row>
    <row r="241" spans="1:6" x14ac:dyDescent="0.25">
      <c r="A241" s="7"/>
      <c r="B241" s="6">
        <f t="shared" si="15"/>
        <v>232</v>
      </c>
      <c r="C241" s="1">
        <f t="shared" si="16"/>
        <v>19473104.75690509</v>
      </c>
      <c r="D241" s="5">
        <f t="shared" si="17"/>
        <v>149001922.42627791</v>
      </c>
      <c r="E241" s="5">
        <f t="shared" si="18"/>
        <v>17805035.180833973</v>
      </c>
      <c r="F241" s="1">
        <f t="shared" si="19"/>
        <v>1668069.5760711187</v>
      </c>
    </row>
    <row r="242" spans="1:6" x14ac:dyDescent="0.25">
      <c r="A242" s="7"/>
      <c r="B242" s="6">
        <f t="shared" si="15"/>
        <v>233</v>
      </c>
      <c r="C242" s="1">
        <f t="shared" si="16"/>
        <v>19473104.75690509</v>
      </c>
      <c r="D242" s="5">
        <f t="shared" si="17"/>
        <v>131018836.8936356</v>
      </c>
      <c r="E242" s="5">
        <f t="shared" si="18"/>
        <v>17983085.532642312</v>
      </c>
      <c r="F242" s="1">
        <f t="shared" si="19"/>
        <v>1490019.2242627789</v>
      </c>
    </row>
    <row r="243" spans="1:6" x14ac:dyDescent="0.25">
      <c r="A243" s="7"/>
      <c r="B243" s="6">
        <f t="shared" si="15"/>
        <v>234</v>
      </c>
      <c r="C243" s="1">
        <f t="shared" si="16"/>
        <v>19473104.75690509</v>
      </c>
      <c r="D243" s="5">
        <f t="shared" si="17"/>
        <v>112855920.50566687</v>
      </c>
      <c r="E243" s="5">
        <f t="shared" si="18"/>
        <v>18162916.387968734</v>
      </c>
      <c r="F243" s="1">
        <f t="shared" si="19"/>
        <v>1310188.3689363559</v>
      </c>
    </row>
    <row r="244" spans="1:6" x14ac:dyDescent="0.25">
      <c r="A244" s="7"/>
      <c r="B244" s="6">
        <f t="shared" si="15"/>
        <v>235</v>
      </c>
      <c r="C244" s="1">
        <f t="shared" si="16"/>
        <v>19473104.75690509</v>
      </c>
      <c r="D244" s="5">
        <f t="shared" si="17"/>
        <v>94511374.95381844</v>
      </c>
      <c r="E244" s="5">
        <f t="shared" si="18"/>
        <v>18344545.551848423</v>
      </c>
      <c r="F244" s="1">
        <f t="shared" si="19"/>
        <v>1128559.2050566685</v>
      </c>
    </row>
    <row r="245" spans="1:6" x14ac:dyDescent="0.25">
      <c r="A245" s="7"/>
      <c r="B245" s="6">
        <f t="shared" si="15"/>
        <v>236</v>
      </c>
      <c r="C245" s="1">
        <f t="shared" si="16"/>
        <v>19473104.75690509</v>
      </c>
      <c r="D245" s="5">
        <f t="shared" si="17"/>
        <v>75983383.94645153</v>
      </c>
      <c r="E245" s="5">
        <f t="shared" si="18"/>
        <v>18527991.007366907</v>
      </c>
      <c r="F245" s="1">
        <f t="shared" si="19"/>
        <v>945113.74953818426</v>
      </c>
    </row>
    <row r="246" spans="1:6" x14ac:dyDescent="0.25">
      <c r="A246" s="7"/>
      <c r="B246" s="6">
        <f t="shared" si="15"/>
        <v>237</v>
      </c>
      <c r="C246" s="1">
        <f t="shared" si="16"/>
        <v>19473104.75690509</v>
      </c>
      <c r="D246" s="5">
        <f t="shared" si="17"/>
        <v>57270113.029010952</v>
      </c>
      <c r="E246" s="5">
        <f t="shared" si="18"/>
        <v>18713270.917440575</v>
      </c>
      <c r="F246" s="1">
        <f t="shared" si="19"/>
        <v>759833.83946451533</v>
      </c>
    </row>
    <row r="247" spans="1:6" x14ac:dyDescent="0.25">
      <c r="A247" s="7"/>
      <c r="B247" s="6">
        <f t="shared" si="15"/>
        <v>238</v>
      </c>
      <c r="C247" s="1">
        <f t="shared" si="16"/>
        <v>19473104.75690509</v>
      </c>
      <c r="D247" s="5">
        <f t="shared" si="17"/>
        <v>38369709.402395971</v>
      </c>
      <c r="E247" s="5">
        <f t="shared" si="18"/>
        <v>18900403.62661498</v>
      </c>
      <c r="F247" s="1">
        <f t="shared" si="19"/>
        <v>572701.13029010955</v>
      </c>
    </row>
    <row r="248" spans="1:6" x14ac:dyDescent="0.25">
      <c r="A248" s="7"/>
      <c r="B248" s="6">
        <f t="shared" si="15"/>
        <v>239</v>
      </c>
      <c r="C248" s="1">
        <f t="shared" si="16"/>
        <v>19473104.75690509</v>
      </c>
      <c r="D248" s="5">
        <f t="shared" si="17"/>
        <v>19280301.739514843</v>
      </c>
      <c r="E248" s="5">
        <f t="shared" si="18"/>
        <v>19089407.662881128</v>
      </c>
      <c r="F248" s="1">
        <f t="shared" si="19"/>
        <v>383697.09402395971</v>
      </c>
    </row>
    <row r="249" spans="1:6" x14ac:dyDescent="0.25">
      <c r="A249" s="7"/>
      <c r="B249" s="6">
        <f t="shared" si="15"/>
        <v>240</v>
      </c>
      <c r="C249" s="1">
        <f t="shared" si="16"/>
        <v>19473104.75690509</v>
      </c>
      <c r="D249" s="5">
        <f t="shared" si="17"/>
        <v>4.9024820327758789E-6</v>
      </c>
      <c r="E249" s="5">
        <f t="shared" si="18"/>
        <v>19280301.73950994</v>
      </c>
      <c r="F249" s="1">
        <f t="shared" si="19"/>
        <v>192803.0173951484</v>
      </c>
    </row>
  </sheetData>
  <mergeCells count="20">
    <mergeCell ref="A202:A213"/>
    <mergeCell ref="A214:A225"/>
    <mergeCell ref="A226:A237"/>
    <mergeCell ref="A238:A249"/>
    <mergeCell ref="A22:A33"/>
    <mergeCell ref="A34:A45"/>
    <mergeCell ref="A46:A57"/>
    <mergeCell ref="A58:A69"/>
    <mergeCell ref="A70:A81"/>
    <mergeCell ref="A82:A93"/>
    <mergeCell ref="A94:A105"/>
    <mergeCell ref="A106:A117"/>
    <mergeCell ref="A118:A129"/>
    <mergeCell ref="A154:A165"/>
    <mergeCell ref="A166:A177"/>
    <mergeCell ref="A178:A189"/>
    <mergeCell ref="A190:A201"/>
    <mergeCell ref="A130:A141"/>
    <mergeCell ref="A142:A153"/>
    <mergeCell ref="A9:A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8674-7F81-4B99-95F9-0C534A1A892C}">
  <dimension ref="A1:G189"/>
  <sheetViews>
    <sheetView workbookViewId="0">
      <selection activeCell="B1" sqref="B1"/>
    </sheetView>
  </sheetViews>
  <sheetFormatPr defaultRowHeight="15" x14ac:dyDescent="0.25"/>
  <cols>
    <col min="1" max="1" width="26.85546875" bestFit="1" customWidth="1"/>
    <col min="2" max="2" width="19.28515625" bestFit="1" customWidth="1"/>
    <col min="3" max="3" width="16.5703125" bestFit="1" customWidth="1"/>
    <col min="4" max="4" width="20.42578125" customWidth="1"/>
    <col min="5" max="5" width="21.85546875" bestFit="1" customWidth="1"/>
    <col min="6" max="6" width="19.28515625" bestFit="1" customWidth="1"/>
  </cols>
  <sheetData>
    <row r="1" spans="1:7" x14ac:dyDescent="0.25">
      <c r="A1" t="s">
        <v>7</v>
      </c>
      <c r="B1" s="1">
        <v>1622531491</v>
      </c>
      <c r="E1" t="s">
        <v>19</v>
      </c>
      <c r="F1">
        <v>60</v>
      </c>
      <c r="G1" t="s">
        <v>21</v>
      </c>
    </row>
    <row r="2" spans="1:7" x14ac:dyDescent="0.25">
      <c r="A2" t="s">
        <v>11</v>
      </c>
      <c r="B2">
        <v>180</v>
      </c>
      <c r="C2" t="s">
        <v>21</v>
      </c>
      <c r="E2" t="s">
        <v>20</v>
      </c>
      <c r="F2">
        <v>120</v>
      </c>
      <c r="G2" t="s">
        <v>21</v>
      </c>
    </row>
    <row r="3" spans="1:7" x14ac:dyDescent="0.25">
      <c r="A3" t="s">
        <v>8</v>
      </c>
      <c r="B3" s="10">
        <v>4.7500000000000001E-2</v>
      </c>
    </row>
    <row r="4" spans="1:7" x14ac:dyDescent="0.25">
      <c r="A4" t="s">
        <v>5</v>
      </c>
      <c r="B4" s="2">
        <v>0.12</v>
      </c>
    </row>
    <row r="5" spans="1:7" x14ac:dyDescent="0.25">
      <c r="A5" t="s">
        <v>12</v>
      </c>
      <c r="B5" s="1">
        <f>VLOOKUP(F1,$B$10:$D$69,3,0)</f>
        <v>1203704286.3711131</v>
      </c>
    </row>
    <row r="6" spans="1:7" x14ac:dyDescent="0.25">
      <c r="A6" t="s">
        <v>9</v>
      </c>
      <c r="B6" s="1">
        <f>SUMIF(B10:B69,"&lt;="&amp;$F$1,$F$10:$F$69)</f>
        <v>338406864.08506757</v>
      </c>
    </row>
    <row r="7" spans="1:7" x14ac:dyDescent="0.25">
      <c r="A7" t="s">
        <v>10</v>
      </c>
      <c r="B7" s="5">
        <f>F9-B6</f>
        <v>868654860.3719666</v>
      </c>
    </row>
    <row r="8" spans="1:7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7" x14ac:dyDescent="0.25">
      <c r="A9" s="7" t="s">
        <v>22</v>
      </c>
      <c r="B9" s="6">
        <v>0</v>
      </c>
      <c r="C9" s="1">
        <f>D9+F9</f>
        <v>2829593215.4570341</v>
      </c>
      <c r="D9" s="5">
        <f>$B$1</f>
        <v>1622531491</v>
      </c>
      <c r="E9" s="5">
        <f>$B$1</f>
        <v>1622531491</v>
      </c>
      <c r="F9" s="1">
        <f>SUMIF($B$10:$B$189,"&lt;="&amp;$B$2,$F$10:$F$189)</f>
        <v>1207061724.4570341</v>
      </c>
    </row>
    <row r="10" spans="1:7" x14ac:dyDescent="0.25">
      <c r="A10" s="7"/>
      <c r="B10" s="6">
        <f>B9+1</f>
        <v>1</v>
      </c>
      <c r="C10" s="1">
        <f>IF(AND($F$1&lt;=$B$2,B10&lt;=$F$1),($B$1*($B$3/12))/(1-1/(1+$B$3/12)^$B$2),($B$5*($B$4/12))/(1-1/(1+$B$4/12)^$F$2))</f>
        <v>12620567.811899235</v>
      </c>
      <c r="D10" s="5">
        <f>D9-E10</f>
        <v>1616333443.6733091</v>
      </c>
      <c r="E10" s="5">
        <f>C10-F10</f>
        <v>6198047.326690902</v>
      </c>
      <c r="F10" s="1">
        <f>IF(B10&lt;=$F$1,D9*$B$3/12,D9*$B$4/12)</f>
        <v>6422520.4852083335</v>
      </c>
    </row>
    <row r="11" spans="1:7" x14ac:dyDescent="0.25">
      <c r="A11" s="7"/>
      <c r="B11" s="6">
        <f t="shared" ref="B11:B74" si="0">B10+1</f>
        <v>2</v>
      </c>
      <c r="C11" s="1">
        <f t="shared" ref="C11:C74" si="1">IF(AND($F$1&lt;=$B$2,B11&lt;=$F$1),($B$1*($B$3/12))/(1-1/(1+$B$3/12)^$B$2),($B$5*($B$4/12))/(1-1/(1+$B$4/12)^$F$2))</f>
        <v>12620567.811899235</v>
      </c>
      <c r="D11" s="5">
        <f t="shared" ref="D11:D74" si="2">D10-E11</f>
        <v>1610110862.4092834</v>
      </c>
      <c r="E11" s="5">
        <f t="shared" ref="E11:E74" si="3">C11-F11</f>
        <v>6222581.2640257198</v>
      </c>
      <c r="F11" s="1">
        <f t="shared" ref="F11:F74" si="4">IF(B11&lt;=$F$1,D10*$B$3/12,D10*$B$4/12)</f>
        <v>6397986.5478735156</v>
      </c>
    </row>
    <row r="12" spans="1:7" x14ac:dyDescent="0.25">
      <c r="A12" s="7"/>
      <c r="B12" s="6">
        <f t="shared" si="0"/>
        <v>3</v>
      </c>
      <c r="C12" s="1">
        <f t="shared" si="1"/>
        <v>12620567.811899235</v>
      </c>
      <c r="D12" s="5">
        <f t="shared" si="2"/>
        <v>1603863650.0944209</v>
      </c>
      <c r="E12" s="5">
        <f t="shared" si="3"/>
        <v>6247212.3148624888</v>
      </c>
      <c r="F12" s="1">
        <f t="shared" si="4"/>
        <v>6373355.4970367467</v>
      </c>
    </row>
    <row r="13" spans="1:7" x14ac:dyDescent="0.25">
      <c r="A13" s="7"/>
      <c r="B13" s="6">
        <f t="shared" si="0"/>
        <v>4</v>
      </c>
      <c r="C13" s="1">
        <f t="shared" si="1"/>
        <v>12620567.811899235</v>
      </c>
      <c r="D13" s="5">
        <f t="shared" si="2"/>
        <v>1597591709.2308121</v>
      </c>
      <c r="E13" s="5">
        <f t="shared" si="3"/>
        <v>6271940.8636088194</v>
      </c>
      <c r="F13" s="1">
        <f t="shared" si="4"/>
        <v>6348626.948290416</v>
      </c>
    </row>
    <row r="14" spans="1:7" x14ac:dyDescent="0.25">
      <c r="A14" s="7"/>
      <c r="B14" s="6">
        <f t="shared" si="0"/>
        <v>5</v>
      </c>
      <c r="C14" s="1">
        <f t="shared" si="1"/>
        <v>12620567.811899235</v>
      </c>
      <c r="D14" s="5">
        <f t="shared" si="2"/>
        <v>1591294941.9346182</v>
      </c>
      <c r="E14" s="5">
        <f t="shared" si="3"/>
        <v>6296767.2961939378</v>
      </c>
      <c r="F14" s="1">
        <f t="shared" si="4"/>
        <v>6323800.5157052977</v>
      </c>
    </row>
    <row r="15" spans="1:7" x14ac:dyDescent="0.25">
      <c r="A15" s="7"/>
      <c r="B15" s="6">
        <f t="shared" si="0"/>
        <v>6</v>
      </c>
      <c r="C15" s="1">
        <f t="shared" si="1"/>
        <v>12620567.811899235</v>
      </c>
      <c r="D15" s="5">
        <f t="shared" si="2"/>
        <v>1584973249.9345436</v>
      </c>
      <c r="E15" s="5">
        <f t="shared" si="3"/>
        <v>6321692.0000747051</v>
      </c>
      <c r="F15" s="1">
        <f t="shared" si="4"/>
        <v>6298875.8118245304</v>
      </c>
    </row>
    <row r="16" spans="1:7" x14ac:dyDescent="0.25">
      <c r="A16" s="7"/>
      <c r="B16" s="6">
        <f t="shared" si="0"/>
        <v>7</v>
      </c>
      <c r="C16" s="1">
        <f t="shared" si="1"/>
        <v>12620567.811899235</v>
      </c>
      <c r="D16" s="5">
        <f t="shared" si="2"/>
        <v>1578626534.570302</v>
      </c>
      <c r="E16" s="5">
        <f t="shared" si="3"/>
        <v>6346715.3642416662</v>
      </c>
      <c r="F16" s="1">
        <f t="shared" si="4"/>
        <v>6273852.4476575693</v>
      </c>
    </row>
    <row r="17" spans="1:6" x14ac:dyDescent="0.25">
      <c r="A17" s="7"/>
      <c r="B17" s="6">
        <f t="shared" si="0"/>
        <v>8</v>
      </c>
      <c r="C17" s="1">
        <f t="shared" si="1"/>
        <v>12620567.811899235</v>
      </c>
      <c r="D17" s="5">
        <f t="shared" si="2"/>
        <v>1572254696.7910769</v>
      </c>
      <c r="E17" s="5">
        <f t="shared" si="3"/>
        <v>6371837.7792251231</v>
      </c>
      <c r="F17" s="1">
        <f t="shared" si="4"/>
        <v>6248730.0326741124</v>
      </c>
    </row>
    <row r="18" spans="1:6" x14ac:dyDescent="0.25">
      <c r="A18" s="7"/>
      <c r="B18" s="6">
        <f t="shared" si="0"/>
        <v>9</v>
      </c>
      <c r="C18" s="1">
        <f t="shared" si="1"/>
        <v>12620567.811899235</v>
      </c>
      <c r="D18" s="5">
        <f t="shared" si="2"/>
        <v>1565857637.1539757</v>
      </c>
      <c r="E18" s="5">
        <f t="shared" si="3"/>
        <v>6397059.6371012228</v>
      </c>
      <c r="F18" s="1">
        <f t="shared" si="4"/>
        <v>6223508.1747980127</v>
      </c>
    </row>
    <row r="19" spans="1:6" x14ac:dyDescent="0.25">
      <c r="A19" s="7"/>
      <c r="B19" s="6">
        <f t="shared" si="0"/>
        <v>10</v>
      </c>
      <c r="C19" s="1">
        <f t="shared" si="1"/>
        <v>12620567.811899235</v>
      </c>
      <c r="D19" s="5">
        <f t="shared" si="2"/>
        <v>1559435255.8224776</v>
      </c>
      <c r="E19" s="5">
        <f t="shared" si="3"/>
        <v>6422381.3314980818</v>
      </c>
      <c r="F19" s="1">
        <f t="shared" si="4"/>
        <v>6198186.4804011537</v>
      </c>
    </row>
    <row r="20" spans="1:6" x14ac:dyDescent="0.25">
      <c r="A20" s="7"/>
      <c r="B20" s="6">
        <f t="shared" si="0"/>
        <v>11</v>
      </c>
      <c r="C20" s="1">
        <f t="shared" si="1"/>
        <v>12620567.811899235</v>
      </c>
      <c r="D20" s="5">
        <f t="shared" si="2"/>
        <v>1552987452.5648756</v>
      </c>
      <c r="E20" s="5">
        <f t="shared" si="3"/>
        <v>6447803.2576019289</v>
      </c>
      <c r="F20" s="1">
        <f t="shared" si="4"/>
        <v>6172764.5542973066</v>
      </c>
    </row>
    <row r="21" spans="1:6" x14ac:dyDescent="0.25">
      <c r="A21" s="7"/>
      <c r="B21" s="6">
        <f t="shared" si="0"/>
        <v>12</v>
      </c>
      <c r="C21" s="1">
        <f t="shared" si="1"/>
        <v>12620567.811899235</v>
      </c>
      <c r="D21" s="5">
        <f t="shared" si="2"/>
        <v>1546514126.7527122</v>
      </c>
      <c r="E21" s="5">
        <f t="shared" si="3"/>
        <v>6473325.8121632691</v>
      </c>
      <c r="F21" s="1">
        <f t="shared" si="4"/>
        <v>6147241.9997359663</v>
      </c>
    </row>
    <row r="22" spans="1:6" x14ac:dyDescent="0.25">
      <c r="A22" s="7" t="s">
        <v>23</v>
      </c>
      <c r="B22" s="6">
        <f t="shared" si="0"/>
        <v>13</v>
      </c>
      <c r="C22" s="1">
        <f t="shared" si="1"/>
        <v>12620567.811899235</v>
      </c>
      <c r="D22" s="5">
        <f t="shared" si="2"/>
        <v>1540015177.3592091</v>
      </c>
      <c r="E22" s="5">
        <f t="shared" si="3"/>
        <v>6498949.3935030829</v>
      </c>
      <c r="F22" s="1">
        <f t="shared" si="4"/>
        <v>6121618.4183961526</v>
      </c>
    </row>
    <row r="23" spans="1:6" x14ac:dyDescent="0.25">
      <c r="A23" s="7"/>
      <c r="B23" s="6">
        <f t="shared" si="0"/>
        <v>14</v>
      </c>
      <c r="C23" s="1">
        <f t="shared" si="1"/>
        <v>12620567.811899235</v>
      </c>
      <c r="D23" s="5">
        <f t="shared" si="2"/>
        <v>1533490502.95769</v>
      </c>
      <c r="E23" s="5">
        <f t="shared" si="3"/>
        <v>6524674.4015190331</v>
      </c>
      <c r="F23" s="1">
        <f t="shared" si="4"/>
        <v>6095893.4103802023</v>
      </c>
    </row>
    <row r="24" spans="1:6" x14ac:dyDescent="0.25">
      <c r="A24" s="7"/>
      <c r="B24" s="6">
        <f t="shared" si="0"/>
        <v>15</v>
      </c>
      <c r="C24" s="1">
        <f t="shared" si="1"/>
        <v>12620567.811899235</v>
      </c>
      <c r="D24" s="5">
        <f t="shared" si="2"/>
        <v>1526940001.7199984</v>
      </c>
      <c r="E24" s="5">
        <f t="shared" si="3"/>
        <v>6550501.2376917126</v>
      </c>
      <c r="F24" s="1">
        <f t="shared" si="4"/>
        <v>6070066.5742075229</v>
      </c>
    </row>
    <row r="25" spans="1:6" x14ac:dyDescent="0.25">
      <c r="A25" s="7"/>
      <c r="B25" s="6">
        <f t="shared" si="0"/>
        <v>16</v>
      </c>
      <c r="C25" s="1">
        <f t="shared" si="1"/>
        <v>12620567.811899235</v>
      </c>
      <c r="D25" s="5">
        <f t="shared" si="2"/>
        <v>1520363571.4149075</v>
      </c>
      <c r="E25" s="5">
        <f t="shared" si="3"/>
        <v>6576430.3050909089</v>
      </c>
      <c r="F25" s="1">
        <f t="shared" si="4"/>
        <v>6044137.5068083266</v>
      </c>
    </row>
    <row r="26" spans="1:6" x14ac:dyDescent="0.25">
      <c r="A26" s="7"/>
      <c r="B26" s="6">
        <f t="shared" si="0"/>
        <v>17</v>
      </c>
      <c r="C26" s="1">
        <f t="shared" si="1"/>
        <v>12620567.811899235</v>
      </c>
      <c r="D26" s="5">
        <f t="shared" si="2"/>
        <v>1513761109.4065256</v>
      </c>
      <c r="E26" s="5">
        <f t="shared" si="3"/>
        <v>6602462.0083818939</v>
      </c>
      <c r="F26" s="1">
        <f t="shared" si="4"/>
        <v>6018105.8035173416</v>
      </c>
    </row>
    <row r="27" spans="1:6" x14ac:dyDescent="0.25">
      <c r="A27" s="7"/>
      <c r="B27" s="6">
        <f t="shared" si="0"/>
        <v>18</v>
      </c>
      <c r="C27" s="1">
        <f t="shared" si="1"/>
        <v>12620567.811899235</v>
      </c>
      <c r="D27" s="5">
        <f t="shared" si="2"/>
        <v>1507132512.652694</v>
      </c>
      <c r="E27" s="5">
        <f t="shared" si="3"/>
        <v>6628596.7538317386</v>
      </c>
      <c r="F27" s="1">
        <f t="shared" si="4"/>
        <v>5991971.0580674969</v>
      </c>
    </row>
    <row r="28" spans="1:6" x14ac:dyDescent="0.25">
      <c r="A28" s="7"/>
      <c r="B28" s="6">
        <f t="shared" si="0"/>
        <v>19</v>
      </c>
      <c r="C28" s="1">
        <f t="shared" si="1"/>
        <v>12620567.811899235</v>
      </c>
      <c r="D28" s="5">
        <f t="shared" si="2"/>
        <v>1500477677.7033784</v>
      </c>
      <c r="E28" s="5">
        <f t="shared" si="3"/>
        <v>6654834.949315655</v>
      </c>
      <c r="F28" s="1">
        <f t="shared" si="4"/>
        <v>5965732.8625835804</v>
      </c>
    </row>
    <row r="29" spans="1:6" x14ac:dyDescent="0.25">
      <c r="A29" s="7"/>
      <c r="B29" s="6">
        <f t="shared" si="0"/>
        <v>20</v>
      </c>
      <c r="C29" s="1">
        <f t="shared" si="1"/>
        <v>12620567.811899235</v>
      </c>
      <c r="D29" s="5">
        <f t="shared" si="2"/>
        <v>1493796500.6990552</v>
      </c>
      <c r="E29" s="5">
        <f t="shared" si="3"/>
        <v>6681177.0043233624</v>
      </c>
      <c r="F29" s="1">
        <f t="shared" si="4"/>
        <v>5939390.8075758731</v>
      </c>
    </row>
    <row r="30" spans="1:6" x14ac:dyDescent="0.25">
      <c r="A30" s="7"/>
      <c r="B30" s="6">
        <f t="shared" si="0"/>
        <v>21</v>
      </c>
      <c r="C30" s="1">
        <f t="shared" si="1"/>
        <v>12620567.811899235</v>
      </c>
      <c r="D30" s="5">
        <f t="shared" si="2"/>
        <v>1487088877.3690896</v>
      </c>
      <c r="E30" s="5">
        <f t="shared" si="3"/>
        <v>6707623.329965475</v>
      </c>
      <c r="F30" s="1">
        <f t="shared" si="4"/>
        <v>5912944.4819337605</v>
      </c>
    </row>
    <row r="31" spans="1:6" x14ac:dyDescent="0.25">
      <c r="A31" s="7"/>
      <c r="B31" s="6">
        <f t="shared" si="0"/>
        <v>22</v>
      </c>
      <c r="C31" s="1">
        <f t="shared" si="1"/>
        <v>12620567.811899235</v>
      </c>
      <c r="D31" s="5">
        <f t="shared" si="2"/>
        <v>1480354703.0301096</v>
      </c>
      <c r="E31" s="5">
        <f t="shared" si="3"/>
        <v>6734174.3389799232</v>
      </c>
      <c r="F31" s="1">
        <f t="shared" si="4"/>
        <v>5886393.4729193123</v>
      </c>
    </row>
    <row r="32" spans="1:6" x14ac:dyDescent="0.25">
      <c r="A32" s="7"/>
      <c r="B32" s="6">
        <f t="shared" si="0"/>
        <v>23</v>
      </c>
      <c r="C32" s="1">
        <f t="shared" si="1"/>
        <v>12620567.811899235</v>
      </c>
      <c r="D32" s="5">
        <f t="shared" si="2"/>
        <v>1473593872.5843713</v>
      </c>
      <c r="E32" s="5">
        <f t="shared" si="3"/>
        <v>6760830.4457383845</v>
      </c>
      <c r="F32" s="1">
        <f t="shared" si="4"/>
        <v>5859737.366160851</v>
      </c>
    </row>
    <row r="33" spans="1:6" x14ac:dyDescent="0.25">
      <c r="A33" s="7"/>
      <c r="B33" s="6">
        <f t="shared" si="0"/>
        <v>24</v>
      </c>
      <c r="C33" s="1">
        <f t="shared" si="1"/>
        <v>12620567.811899235</v>
      </c>
      <c r="D33" s="5">
        <f t="shared" si="2"/>
        <v>1466806280.5181186</v>
      </c>
      <c r="E33" s="5">
        <f t="shared" si="3"/>
        <v>6787592.0662527662</v>
      </c>
      <c r="F33" s="1">
        <f t="shared" si="4"/>
        <v>5832975.7456464693</v>
      </c>
    </row>
    <row r="34" spans="1:6" x14ac:dyDescent="0.25">
      <c r="A34" s="7" t="s">
        <v>24</v>
      </c>
      <c r="B34" s="6">
        <f t="shared" si="0"/>
        <v>25</v>
      </c>
      <c r="C34" s="1">
        <f t="shared" si="1"/>
        <v>12620567.811899235</v>
      </c>
      <c r="D34" s="5">
        <f t="shared" si="2"/>
        <v>1459991820.8999369</v>
      </c>
      <c r="E34" s="5">
        <f t="shared" si="3"/>
        <v>6814459.6181816822</v>
      </c>
      <c r="F34" s="1">
        <f t="shared" si="4"/>
        <v>5806108.1937175533</v>
      </c>
    </row>
    <row r="35" spans="1:6" x14ac:dyDescent="0.25">
      <c r="A35" s="7"/>
      <c r="B35" s="6">
        <f t="shared" si="0"/>
        <v>26</v>
      </c>
      <c r="C35" s="1">
        <f t="shared" si="1"/>
        <v>12620567.811899235</v>
      </c>
      <c r="D35" s="5">
        <f t="shared" si="2"/>
        <v>1453150387.3790998</v>
      </c>
      <c r="E35" s="5">
        <f t="shared" si="3"/>
        <v>6841433.5208369847</v>
      </c>
      <c r="F35" s="1">
        <f t="shared" si="4"/>
        <v>5779134.2910622507</v>
      </c>
    </row>
    <row r="36" spans="1:6" x14ac:dyDescent="0.25">
      <c r="A36" s="7"/>
      <c r="B36" s="6">
        <f t="shared" si="0"/>
        <v>27</v>
      </c>
      <c r="C36" s="1">
        <f t="shared" si="1"/>
        <v>12620567.811899235</v>
      </c>
      <c r="D36" s="5">
        <f t="shared" si="2"/>
        <v>1446281873.1839097</v>
      </c>
      <c r="E36" s="5">
        <f t="shared" si="3"/>
        <v>6868514.1951902984</v>
      </c>
      <c r="F36" s="1">
        <f t="shared" si="4"/>
        <v>5752053.6167089371</v>
      </c>
    </row>
    <row r="37" spans="1:6" x14ac:dyDescent="0.25">
      <c r="A37" s="7"/>
      <c r="B37" s="6">
        <f t="shared" si="0"/>
        <v>28</v>
      </c>
      <c r="C37" s="1">
        <f t="shared" si="1"/>
        <v>12620567.811899235</v>
      </c>
      <c r="D37" s="5">
        <f t="shared" si="2"/>
        <v>1439386171.1200302</v>
      </c>
      <c r="E37" s="5">
        <f t="shared" si="3"/>
        <v>6895702.0638795933</v>
      </c>
      <c r="F37" s="1">
        <f t="shared" si="4"/>
        <v>5724865.7480196422</v>
      </c>
    </row>
    <row r="38" spans="1:6" x14ac:dyDescent="0.25">
      <c r="A38" s="7"/>
      <c r="B38" s="6">
        <f t="shared" si="0"/>
        <v>29</v>
      </c>
      <c r="C38" s="1">
        <f t="shared" si="1"/>
        <v>12620567.811899235</v>
      </c>
      <c r="D38" s="5">
        <f t="shared" si="2"/>
        <v>1432463173.5688143</v>
      </c>
      <c r="E38" s="5">
        <f t="shared" si="3"/>
        <v>6922997.5512157818</v>
      </c>
      <c r="F38" s="1">
        <f t="shared" si="4"/>
        <v>5697570.2606834536</v>
      </c>
    </row>
    <row r="39" spans="1:6" x14ac:dyDescent="0.25">
      <c r="A39" s="7"/>
      <c r="B39" s="6">
        <f t="shared" si="0"/>
        <v>30</v>
      </c>
      <c r="C39" s="1">
        <f t="shared" si="1"/>
        <v>12620567.811899235</v>
      </c>
      <c r="D39" s="5">
        <f t="shared" si="2"/>
        <v>1425512772.485625</v>
      </c>
      <c r="E39" s="5">
        <f t="shared" si="3"/>
        <v>6950401.083189345</v>
      </c>
      <c r="F39" s="1">
        <f t="shared" si="4"/>
        <v>5670166.7287098905</v>
      </c>
    </row>
    <row r="40" spans="1:6" x14ac:dyDescent="0.25">
      <c r="A40" s="7"/>
      <c r="B40" s="6">
        <f t="shared" si="0"/>
        <v>31</v>
      </c>
      <c r="C40" s="1">
        <f t="shared" si="1"/>
        <v>12620567.811899235</v>
      </c>
      <c r="D40" s="5">
        <f t="shared" si="2"/>
        <v>1418534859.3981481</v>
      </c>
      <c r="E40" s="5">
        <f t="shared" si="3"/>
        <v>6977913.0874769697</v>
      </c>
      <c r="F40" s="1">
        <f t="shared" si="4"/>
        <v>5642654.7244222658</v>
      </c>
    </row>
    <row r="41" spans="1:6" x14ac:dyDescent="0.25">
      <c r="A41" s="7"/>
      <c r="B41" s="6">
        <f t="shared" si="0"/>
        <v>32</v>
      </c>
      <c r="C41" s="1">
        <f t="shared" si="1"/>
        <v>12620567.811899235</v>
      </c>
      <c r="D41" s="5">
        <f t="shared" si="2"/>
        <v>1411529325.4046998</v>
      </c>
      <c r="E41" s="5">
        <f t="shared" si="3"/>
        <v>7005533.9934482332</v>
      </c>
      <c r="F41" s="1">
        <f t="shared" si="4"/>
        <v>5615033.8184510022</v>
      </c>
    </row>
    <row r="42" spans="1:6" x14ac:dyDescent="0.25">
      <c r="A42" s="7"/>
      <c r="B42" s="6">
        <f t="shared" si="0"/>
        <v>33</v>
      </c>
      <c r="C42" s="1">
        <f t="shared" si="1"/>
        <v>12620567.811899235</v>
      </c>
      <c r="D42" s="5">
        <f t="shared" si="2"/>
        <v>1404496061.1725276</v>
      </c>
      <c r="E42" s="5">
        <f t="shared" si="3"/>
        <v>7033264.2321722982</v>
      </c>
      <c r="F42" s="1">
        <f t="shared" si="4"/>
        <v>5587303.5797269372</v>
      </c>
    </row>
    <row r="43" spans="1:6" x14ac:dyDescent="0.25">
      <c r="A43" s="7"/>
      <c r="B43" s="6">
        <f t="shared" si="0"/>
        <v>34</v>
      </c>
      <c r="C43" s="1">
        <f t="shared" si="1"/>
        <v>12620567.811899235</v>
      </c>
      <c r="D43" s="5">
        <f t="shared" si="2"/>
        <v>1397434956.9361029</v>
      </c>
      <c r="E43" s="5">
        <f t="shared" si="3"/>
        <v>7061104.2364246473</v>
      </c>
      <c r="F43" s="1">
        <f t="shared" si="4"/>
        <v>5559463.5754745882</v>
      </c>
    </row>
    <row r="44" spans="1:6" x14ac:dyDescent="0.25">
      <c r="A44" s="7"/>
      <c r="B44" s="6">
        <f t="shared" si="0"/>
        <v>35</v>
      </c>
      <c r="C44" s="1">
        <f t="shared" si="1"/>
        <v>12620567.811899235</v>
      </c>
      <c r="D44" s="5">
        <f t="shared" si="2"/>
        <v>1390345902.495409</v>
      </c>
      <c r="E44" s="5">
        <f t="shared" si="3"/>
        <v>7089054.4406938283</v>
      </c>
      <c r="F44" s="1">
        <f t="shared" si="4"/>
        <v>5531513.3712054072</v>
      </c>
    </row>
    <row r="45" spans="1:6" x14ac:dyDescent="0.25">
      <c r="A45" s="7"/>
      <c r="B45" s="6">
        <f t="shared" si="0"/>
        <v>36</v>
      </c>
      <c r="C45" s="1">
        <f t="shared" si="1"/>
        <v>12620567.811899235</v>
      </c>
      <c r="D45" s="5">
        <f t="shared" si="2"/>
        <v>1383228787.2142208</v>
      </c>
      <c r="E45" s="5">
        <f t="shared" si="3"/>
        <v>7117115.2811882412</v>
      </c>
      <c r="F45" s="1">
        <f t="shared" si="4"/>
        <v>5503452.5307109943</v>
      </c>
    </row>
    <row r="46" spans="1:6" x14ac:dyDescent="0.25">
      <c r="A46" s="7" t="s">
        <v>25</v>
      </c>
      <c r="B46" s="6">
        <f t="shared" si="0"/>
        <v>37</v>
      </c>
      <c r="C46" s="1">
        <f t="shared" si="1"/>
        <v>12620567.811899235</v>
      </c>
      <c r="D46" s="5">
        <f t="shared" si="2"/>
        <v>1376083500.0183778</v>
      </c>
      <c r="E46" s="5">
        <f t="shared" si="3"/>
        <v>7145287.195842945</v>
      </c>
      <c r="F46" s="1">
        <f t="shared" si="4"/>
        <v>5475280.6160562905</v>
      </c>
    </row>
    <row r="47" spans="1:6" x14ac:dyDescent="0.25">
      <c r="A47" s="7"/>
      <c r="B47" s="6">
        <f t="shared" si="0"/>
        <v>38</v>
      </c>
      <c r="C47" s="1">
        <f t="shared" si="1"/>
        <v>12620567.811899235</v>
      </c>
      <c r="D47" s="5">
        <f t="shared" si="2"/>
        <v>1368909929.3940513</v>
      </c>
      <c r="E47" s="5">
        <f t="shared" si="3"/>
        <v>7173570.6243264899</v>
      </c>
      <c r="F47" s="1">
        <f t="shared" si="4"/>
        <v>5446997.1875727456</v>
      </c>
    </row>
    <row r="48" spans="1:6" x14ac:dyDescent="0.25">
      <c r="A48" s="7"/>
      <c r="B48" s="6">
        <f t="shared" si="0"/>
        <v>39</v>
      </c>
      <c r="C48" s="1">
        <f t="shared" si="1"/>
        <v>12620567.811899235</v>
      </c>
      <c r="D48" s="5">
        <f t="shared" si="2"/>
        <v>1361707963.3860035</v>
      </c>
      <c r="E48" s="5">
        <f t="shared" si="3"/>
        <v>7201966.0080477828</v>
      </c>
      <c r="F48" s="1">
        <f t="shared" si="4"/>
        <v>5418601.8038514527</v>
      </c>
    </row>
    <row r="49" spans="1:6" x14ac:dyDescent="0.25">
      <c r="A49" s="7"/>
      <c r="B49" s="6">
        <f t="shared" si="0"/>
        <v>40</v>
      </c>
      <c r="C49" s="1">
        <f t="shared" si="1"/>
        <v>12620567.811899235</v>
      </c>
      <c r="D49" s="5">
        <f t="shared" si="2"/>
        <v>1354477489.5958405</v>
      </c>
      <c r="E49" s="5">
        <f t="shared" si="3"/>
        <v>7230473.7901629722</v>
      </c>
      <c r="F49" s="1">
        <f t="shared" si="4"/>
        <v>5390094.0217362633</v>
      </c>
    </row>
    <row r="50" spans="1:6" x14ac:dyDescent="0.25">
      <c r="A50" s="7"/>
      <c r="B50" s="6">
        <f t="shared" si="0"/>
        <v>41</v>
      </c>
      <c r="C50" s="1">
        <f t="shared" si="1"/>
        <v>12620567.811899235</v>
      </c>
      <c r="D50" s="5">
        <f t="shared" si="2"/>
        <v>1347218395.180258</v>
      </c>
      <c r="E50" s="5">
        <f t="shared" si="3"/>
        <v>7259094.4155823672</v>
      </c>
      <c r="F50" s="1">
        <f t="shared" si="4"/>
        <v>5361473.3963168683</v>
      </c>
    </row>
    <row r="51" spans="1:6" x14ac:dyDescent="0.25">
      <c r="A51" s="7"/>
      <c r="B51" s="6">
        <f t="shared" si="0"/>
        <v>42</v>
      </c>
      <c r="C51" s="1">
        <f t="shared" si="1"/>
        <v>12620567.811899235</v>
      </c>
      <c r="D51" s="5">
        <f t="shared" si="2"/>
        <v>1339930566.8492806</v>
      </c>
      <c r="E51" s="5">
        <f t="shared" si="3"/>
        <v>7287828.3309773812</v>
      </c>
      <c r="F51" s="1">
        <f t="shared" si="4"/>
        <v>5332739.4809218543</v>
      </c>
    </row>
    <row r="52" spans="1:6" x14ac:dyDescent="0.25">
      <c r="A52" s="7"/>
      <c r="B52" s="6">
        <f t="shared" si="0"/>
        <v>43</v>
      </c>
      <c r="C52" s="1">
        <f t="shared" si="1"/>
        <v>12620567.811899235</v>
      </c>
      <c r="D52" s="5">
        <f t="shared" si="2"/>
        <v>1332613890.8644931</v>
      </c>
      <c r="E52" s="5">
        <f t="shared" si="3"/>
        <v>7316675.9847874995</v>
      </c>
      <c r="F52" s="1">
        <f t="shared" si="4"/>
        <v>5303891.8271117359</v>
      </c>
    </row>
    <row r="53" spans="1:6" x14ac:dyDescent="0.25">
      <c r="A53" s="7"/>
      <c r="B53" s="6">
        <f t="shared" si="0"/>
        <v>44</v>
      </c>
      <c r="C53" s="1">
        <f t="shared" si="1"/>
        <v>12620567.811899235</v>
      </c>
      <c r="D53" s="5">
        <f t="shared" si="2"/>
        <v>1325268253.0372658</v>
      </c>
      <c r="E53" s="5">
        <f t="shared" si="3"/>
        <v>7345637.8272272833</v>
      </c>
      <c r="F53" s="1">
        <f t="shared" si="4"/>
        <v>5274929.9846719522</v>
      </c>
    </row>
    <row r="54" spans="1:6" x14ac:dyDescent="0.25">
      <c r="A54" s="7"/>
      <c r="B54" s="6">
        <f t="shared" si="0"/>
        <v>45</v>
      </c>
      <c r="C54" s="1">
        <f t="shared" si="1"/>
        <v>12620567.811899235</v>
      </c>
      <c r="D54" s="5">
        <f t="shared" si="2"/>
        <v>1317893538.7269723</v>
      </c>
      <c r="E54" s="5">
        <f t="shared" si="3"/>
        <v>7374714.3102933923</v>
      </c>
      <c r="F54" s="1">
        <f t="shared" si="4"/>
        <v>5245853.5016058432</v>
      </c>
    </row>
    <row r="55" spans="1:6" x14ac:dyDescent="0.25">
      <c r="A55" s="7"/>
      <c r="B55" s="6">
        <f t="shared" si="0"/>
        <v>46</v>
      </c>
      <c r="C55" s="1">
        <f t="shared" si="1"/>
        <v>12620567.811899235</v>
      </c>
      <c r="D55" s="5">
        <f t="shared" si="2"/>
        <v>1310489632.8392007</v>
      </c>
      <c r="E55" s="5">
        <f t="shared" si="3"/>
        <v>7403905.8877716372</v>
      </c>
      <c r="F55" s="1">
        <f t="shared" si="4"/>
        <v>5216661.9241275983</v>
      </c>
    </row>
    <row r="56" spans="1:6" x14ac:dyDescent="0.25">
      <c r="A56" s="7"/>
      <c r="B56" s="6">
        <f t="shared" si="0"/>
        <v>47</v>
      </c>
      <c r="C56" s="1">
        <f t="shared" si="1"/>
        <v>12620567.811899235</v>
      </c>
      <c r="D56" s="5">
        <f t="shared" si="2"/>
        <v>1303056419.8239567</v>
      </c>
      <c r="E56" s="5">
        <f t="shared" si="3"/>
        <v>7433213.0152440658</v>
      </c>
      <c r="F56" s="1">
        <f t="shared" si="4"/>
        <v>5187354.7966551697</v>
      </c>
    </row>
    <row r="57" spans="1:6" x14ac:dyDescent="0.25">
      <c r="A57" s="7"/>
      <c r="B57" s="6">
        <f t="shared" si="0"/>
        <v>48</v>
      </c>
      <c r="C57" s="1">
        <f t="shared" si="1"/>
        <v>12620567.811899235</v>
      </c>
      <c r="D57" s="5">
        <f t="shared" si="2"/>
        <v>1295593783.6738605</v>
      </c>
      <c r="E57" s="5">
        <f t="shared" si="3"/>
        <v>7462636.1500960728</v>
      </c>
      <c r="F57" s="1">
        <f t="shared" si="4"/>
        <v>5157931.6618031627</v>
      </c>
    </row>
    <row r="58" spans="1:6" x14ac:dyDescent="0.25">
      <c r="A58" s="7" t="s">
        <v>26</v>
      </c>
      <c r="B58" s="6">
        <f t="shared" si="0"/>
        <v>49</v>
      </c>
      <c r="C58" s="1">
        <f t="shared" si="1"/>
        <v>12620567.811899235</v>
      </c>
      <c r="D58" s="5">
        <f t="shared" si="2"/>
        <v>1288101607.9223371</v>
      </c>
      <c r="E58" s="5">
        <f t="shared" si="3"/>
        <v>7492175.7515235376</v>
      </c>
      <c r="F58" s="1">
        <f t="shared" si="4"/>
        <v>5128392.0603756979</v>
      </c>
    </row>
    <row r="59" spans="1:6" x14ac:dyDescent="0.25">
      <c r="A59" s="7"/>
      <c r="B59" s="6">
        <f t="shared" si="0"/>
        <v>50</v>
      </c>
      <c r="C59" s="1">
        <f t="shared" si="1"/>
        <v>12620567.811899235</v>
      </c>
      <c r="D59" s="5">
        <f t="shared" si="2"/>
        <v>1280579775.6417971</v>
      </c>
      <c r="E59" s="5">
        <f t="shared" si="3"/>
        <v>7521832.2805399848</v>
      </c>
      <c r="F59" s="1">
        <f t="shared" si="4"/>
        <v>5098735.5313592507</v>
      </c>
    </row>
    <row r="60" spans="1:6" x14ac:dyDescent="0.25">
      <c r="A60" s="7"/>
      <c r="B60" s="6">
        <f t="shared" si="0"/>
        <v>51</v>
      </c>
      <c r="C60" s="1">
        <f t="shared" si="1"/>
        <v>12620567.811899235</v>
      </c>
      <c r="D60" s="5">
        <f t="shared" si="2"/>
        <v>1273028169.4418132</v>
      </c>
      <c r="E60" s="5">
        <f t="shared" si="3"/>
        <v>7551606.1999837887</v>
      </c>
      <c r="F60" s="1">
        <f t="shared" si="4"/>
        <v>5068961.6119154468</v>
      </c>
    </row>
    <row r="61" spans="1:6" x14ac:dyDescent="0.25">
      <c r="A61" s="7"/>
      <c r="B61" s="6">
        <f t="shared" si="0"/>
        <v>52</v>
      </c>
      <c r="C61" s="1">
        <f t="shared" si="1"/>
        <v>12620567.811899235</v>
      </c>
      <c r="D61" s="5">
        <f t="shared" si="2"/>
        <v>1265446671.4672878</v>
      </c>
      <c r="E61" s="5">
        <f t="shared" si="3"/>
        <v>7581497.9745253911</v>
      </c>
      <c r="F61" s="1">
        <f t="shared" si="4"/>
        <v>5039069.8373738443</v>
      </c>
    </row>
    <row r="62" spans="1:6" x14ac:dyDescent="0.25">
      <c r="A62" s="7"/>
      <c r="B62" s="6">
        <f t="shared" si="0"/>
        <v>53</v>
      </c>
      <c r="C62" s="1">
        <f t="shared" si="1"/>
        <v>12620567.811899235</v>
      </c>
      <c r="D62" s="5">
        <f t="shared" si="2"/>
        <v>1257835163.3966131</v>
      </c>
      <c r="E62" s="5">
        <f t="shared" si="3"/>
        <v>7611508.0706745544</v>
      </c>
      <c r="F62" s="1">
        <f t="shared" si="4"/>
        <v>5009059.741224681</v>
      </c>
    </row>
    <row r="63" spans="1:6" x14ac:dyDescent="0.25">
      <c r="A63" s="7"/>
      <c r="B63" s="6">
        <f t="shared" si="0"/>
        <v>54</v>
      </c>
      <c r="C63" s="1">
        <f t="shared" si="1"/>
        <v>12620567.811899235</v>
      </c>
      <c r="D63" s="5">
        <f t="shared" si="2"/>
        <v>1250193526.4398255</v>
      </c>
      <c r="E63" s="5">
        <f t="shared" si="3"/>
        <v>7641636.9567876421</v>
      </c>
      <c r="F63" s="1">
        <f t="shared" si="4"/>
        <v>4978930.8551115934</v>
      </c>
    </row>
    <row r="64" spans="1:6" x14ac:dyDescent="0.25">
      <c r="A64" s="7"/>
      <c r="B64" s="6">
        <f t="shared" si="0"/>
        <v>55</v>
      </c>
      <c r="C64" s="1">
        <f t="shared" si="1"/>
        <v>12620567.811899235</v>
      </c>
      <c r="D64" s="5">
        <f t="shared" si="2"/>
        <v>1242521641.3367505</v>
      </c>
      <c r="E64" s="5">
        <f t="shared" si="3"/>
        <v>7671885.103074926</v>
      </c>
      <c r="F64" s="1">
        <f t="shared" si="4"/>
        <v>4948682.7088243095</v>
      </c>
    </row>
    <row r="65" spans="1:6" x14ac:dyDescent="0.25">
      <c r="A65" s="7"/>
      <c r="B65" s="6">
        <f t="shared" si="0"/>
        <v>56</v>
      </c>
      <c r="C65" s="1">
        <f t="shared" si="1"/>
        <v>12620567.811899235</v>
      </c>
      <c r="D65" s="5">
        <f t="shared" si="2"/>
        <v>1234819388.3551426</v>
      </c>
      <c r="E65" s="5">
        <f t="shared" si="3"/>
        <v>7702252.9816079317</v>
      </c>
      <c r="F65" s="1">
        <f t="shared" si="4"/>
        <v>4918314.8302913038</v>
      </c>
    </row>
    <row r="66" spans="1:6" x14ac:dyDescent="0.25">
      <c r="A66" s="7"/>
      <c r="B66" s="6">
        <f t="shared" si="0"/>
        <v>57</v>
      </c>
      <c r="C66" s="1">
        <f t="shared" si="1"/>
        <v>12620567.811899235</v>
      </c>
      <c r="D66" s="5">
        <f t="shared" si="2"/>
        <v>1227086647.2888157</v>
      </c>
      <c r="E66" s="5">
        <f t="shared" si="3"/>
        <v>7732741.0663267961</v>
      </c>
      <c r="F66" s="1">
        <f t="shared" si="4"/>
        <v>4887826.7455724394</v>
      </c>
    </row>
    <row r="67" spans="1:6" x14ac:dyDescent="0.25">
      <c r="A67" s="7"/>
      <c r="B67" s="6">
        <f t="shared" si="0"/>
        <v>58</v>
      </c>
      <c r="C67" s="1">
        <f t="shared" si="1"/>
        <v>12620567.811899235</v>
      </c>
      <c r="D67" s="5">
        <f t="shared" si="2"/>
        <v>1219323297.4557681</v>
      </c>
      <c r="E67" s="5">
        <f t="shared" si="3"/>
        <v>7763349.8330476731</v>
      </c>
      <c r="F67" s="1">
        <f t="shared" si="4"/>
        <v>4857217.9788515624</v>
      </c>
    </row>
    <row r="68" spans="1:6" x14ac:dyDescent="0.25">
      <c r="A68" s="7"/>
      <c r="B68" s="6">
        <f t="shared" si="0"/>
        <v>59</v>
      </c>
      <c r="C68" s="1">
        <f t="shared" si="1"/>
        <v>12620567.811899235</v>
      </c>
      <c r="D68" s="5">
        <f t="shared" si="2"/>
        <v>1211529217.6962979</v>
      </c>
      <c r="E68" s="5">
        <f t="shared" si="3"/>
        <v>7794079.7594701536</v>
      </c>
      <c r="F68" s="1">
        <f t="shared" si="4"/>
        <v>4826488.0524290819</v>
      </c>
    </row>
    <row r="69" spans="1:6" x14ac:dyDescent="0.25">
      <c r="A69" s="7"/>
      <c r="B69" s="6">
        <f t="shared" si="0"/>
        <v>60</v>
      </c>
      <c r="C69" s="1">
        <f t="shared" si="1"/>
        <v>12620567.811899235</v>
      </c>
      <c r="D69" s="5">
        <f t="shared" si="2"/>
        <v>1203704286.3711131</v>
      </c>
      <c r="E69" s="5">
        <f t="shared" si="3"/>
        <v>7824931.3251847224</v>
      </c>
      <c r="F69" s="1">
        <f t="shared" si="4"/>
        <v>4795636.486714513</v>
      </c>
    </row>
    <row r="70" spans="1:6" x14ac:dyDescent="0.25">
      <c r="A70" s="7" t="s">
        <v>27</v>
      </c>
      <c r="B70" s="6">
        <f t="shared" si="0"/>
        <v>61</v>
      </c>
      <c r="C70" s="1">
        <f t="shared" si="1"/>
        <v>17269659.556192312</v>
      </c>
      <c r="D70" s="5">
        <f t="shared" si="2"/>
        <v>1198471669.6786318</v>
      </c>
      <c r="E70" s="5">
        <f t="shared" si="3"/>
        <v>5232616.6924811807</v>
      </c>
      <c r="F70" s="1">
        <f t="shared" si="4"/>
        <v>12037042.863711132</v>
      </c>
    </row>
    <row r="71" spans="1:6" x14ac:dyDescent="0.25">
      <c r="A71" s="7"/>
      <c r="B71" s="6">
        <f t="shared" si="0"/>
        <v>62</v>
      </c>
      <c r="C71" s="1">
        <f t="shared" si="1"/>
        <v>17269659.556192312</v>
      </c>
      <c r="D71" s="5">
        <f t="shared" si="2"/>
        <v>1193186726.8192258</v>
      </c>
      <c r="E71" s="5">
        <f t="shared" si="3"/>
        <v>5284942.8594059963</v>
      </c>
      <c r="F71" s="1">
        <f t="shared" si="4"/>
        <v>11984716.696786316</v>
      </c>
    </row>
    <row r="72" spans="1:6" x14ac:dyDescent="0.25">
      <c r="A72" s="7"/>
      <c r="B72" s="6">
        <f t="shared" si="0"/>
        <v>63</v>
      </c>
      <c r="C72" s="1">
        <f t="shared" si="1"/>
        <v>17269659.556192312</v>
      </c>
      <c r="D72" s="5">
        <f t="shared" si="2"/>
        <v>1187848934.5312257</v>
      </c>
      <c r="E72" s="5">
        <f t="shared" si="3"/>
        <v>5337792.2880000565</v>
      </c>
      <c r="F72" s="1">
        <f t="shared" si="4"/>
        <v>11931867.268192256</v>
      </c>
    </row>
    <row r="73" spans="1:6" x14ac:dyDescent="0.25">
      <c r="A73" s="7"/>
      <c r="B73" s="6">
        <f t="shared" si="0"/>
        <v>64</v>
      </c>
      <c r="C73" s="1">
        <f t="shared" si="1"/>
        <v>17269659.556192312</v>
      </c>
      <c r="D73" s="5">
        <f t="shared" si="2"/>
        <v>1182457764.3203456</v>
      </c>
      <c r="E73" s="5">
        <f t="shared" si="3"/>
        <v>5391170.2108800542</v>
      </c>
      <c r="F73" s="1">
        <f t="shared" si="4"/>
        <v>11878489.345312258</v>
      </c>
    </row>
    <row r="74" spans="1:6" x14ac:dyDescent="0.25">
      <c r="A74" s="7"/>
      <c r="B74" s="6">
        <f t="shared" si="0"/>
        <v>65</v>
      </c>
      <c r="C74" s="1">
        <f t="shared" si="1"/>
        <v>17269659.556192312</v>
      </c>
      <c r="D74" s="5">
        <f t="shared" si="2"/>
        <v>1177012682.4073567</v>
      </c>
      <c r="E74" s="5">
        <f t="shared" si="3"/>
        <v>5445081.9129888546</v>
      </c>
      <c r="F74" s="1">
        <f t="shared" si="4"/>
        <v>11824577.643203458</v>
      </c>
    </row>
    <row r="75" spans="1:6" x14ac:dyDescent="0.25">
      <c r="A75" s="7"/>
      <c r="B75" s="6">
        <f t="shared" ref="B75:B138" si="5">B74+1</f>
        <v>66</v>
      </c>
      <c r="C75" s="1">
        <f t="shared" ref="C75:C138" si="6">IF(AND($F$1&lt;=$B$2,B75&lt;=$F$1),($B$1*($B$3/12))/(1-1/(1+$B$3/12)^$B$2),($B$5*($B$4/12))/(1-1/(1+$B$4/12)^$F$2))</f>
        <v>17269659.556192312</v>
      </c>
      <c r="D75" s="5">
        <f t="shared" ref="D75:D138" si="7">D74-E75</f>
        <v>1171513149.6752379</v>
      </c>
      <c r="E75" s="5">
        <f t="shared" ref="E75:E138" si="8">C75-F75</f>
        <v>5499532.7321187444</v>
      </c>
      <c r="F75" s="1">
        <f t="shared" ref="F75:F138" si="9">IF(B75&lt;=$F$1,D74*$B$3/12,D74*$B$4/12)</f>
        <v>11770126.824073568</v>
      </c>
    </row>
    <row r="76" spans="1:6" x14ac:dyDescent="0.25">
      <c r="A76" s="7"/>
      <c r="B76" s="6">
        <f t="shared" si="5"/>
        <v>67</v>
      </c>
      <c r="C76" s="1">
        <f t="shared" si="6"/>
        <v>17269659.556192312</v>
      </c>
      <c r="D76" s="5">
        <f t="shared" si="7"/>
        <v>1165958621.615798</v>
      </c>
      <c r="E76" s="5">
        <f t="shared" si="8"/>
        <v>5554528.0594399329</v>
      </c>
      <c r="F76" s="1">
        <f t="shared" si="9"/>
        <v>11715131.496752379</v>
      </c>
    </row>
    <row r="77" spans="1:6" x14ac:dyDescent="0.25">
      <c r="A77" s="7"/>
      <c r="B77" s="6">
        <f t="shared" si="5"/>
        <v>68</v>
      </c>
      <c r="C77" s="1">
        <f t="shared" si="6"/>
        <v>17269659.556192312</v>
      </c>
      <c r="D77" s="5">
        <f t="shared" si="7"/>
        <v>1160348548.2757638</v>
      </c>
      <c r="E77" s="5">
        <f t="shared" si="8"/>
        <v>5610073.3400343321</v>
      </c>
      <c r="F77" s="1">
        <f t="shared" si="9"/>
        <v>11659586.21615798</v>
      </c>
    </row>
    <row r="78" spans="1:6" x14ac:dyDescent="0.25">
      <c r="A78" s="7"/>
      <c r="B78" s="6">
        <f t="shared" si="5"/>
        <v>69</v>
      </c>
      <c r="C78" s="1">
        <f t="shared" si="6"/>
        <v>17269659.556192312</v>
      </c>
      <c r="D78" s="5">
        <f t="shared" si="7"/>
        <v>1154682374.2023292</v>
      </c>
      <c r="E78" s="5">
        <f t="shared" si="8"/>
        <v>5666174.0734346751</v>
      </c>
      <c r="F78" s="1">
        <f t="shared" si="9"/>
        <v>11603485.482757637</v>
      </c>
    </row>
    <row r="79" spans="1:6" x14ac:dyDescent="0.25">
      <c r="A79" s="7"/>
      <c r="B79" s="6">
        <f t="shared" si="5"/>
        <v>70</v>
      </c>
      <c r="C79" s="1">
        <f t="shared" si="6"/>
        <v>17269659.556192312</v>
      </c>
      <c r="D79" s="5">
        <f t="shared" si="7"/>
        <v>1148959538.3881602</v>
      </c>
      <c r="E79" s="5">
        <f t="shared" si="8"/>
        <v>5722835.8141690213</v>
      </c>
      <c r="F79" s="1">
        <f t="shared" si="9"/>
        <v>11546823.742023291</v>
      </c>
    </row>
    <row r="80" spans="1:6" x14ac:dyDescent="0.25">
      <c r="A80" s="7"/>
      <c r="B80" s="6">
        <f t="shared" si="5"/>
        <v>71</v>
      </c>
      <c r="C80" s="1">
        <f t="shared" si="6"/>
        <v>17269659.556192312</v>
      </c>
      <c r="D80" s="5">
        <f t="shared" si="7"/>
        <v>1143179474.2158494</v>
      </c>
      <c r="E80" s="5">
        <f t="shared" si="8"/>
        <v>5780064.1723107118</v>
      </c>
      <c r="F80" s="1">
        <f t="shared" si="9"/>
        <v>11489595.383881601</v>
      </c>
    </row>
    <row r="81" spans="1:6" x14ac:dyDescent="0.25">
      <c r="A81" s="7"/>
      <c r="B81" s="6">
        <f t="shared" si="5"/>
        <v>72</v>
      </c>
      <c r="C81" s="1">
        <f t="shared" si="6"/>
        <v>17269659.556192312</v>
      </c>
      <c r="D81" s="5">
        <f t="shared" si="7"/>
        <v>1137341609.4018157</v>
      </c>
      <c r="E81" s="5">
        <f t="shared" si="8"/>
        <v>5837864.8140338194</v>
      </c>
      <c r="F81" s="1">
        <f t="shared" si="9"/>
        <v>11431794.742158493</v>
      </c>
    </row>
    <row r="82" spans="1:6" x14ac:dyDescent="0.25">
      <c r="A82" s="7" t="s">
        <v>28</v>
      </c>
      <c r="B82" s="6">
        <f t="shared" si="5"/>
        <v>73</v>
      </c>
      <c r="C82" s="1">
        <f t="shared" si="6"/>
        <v>17269659.556192312</v>
      </c>
      <c r="D82" s="5">
        <f t="shared" si="7"/>
        <v>1131445365.9396415</v>
      </c>
      <c r="E82" s="5">
        <f t="shared" si="8"/>
        <v>5896243.4621741567</v>
      </c>
      <c r="F82" s="1">
        <f t="shared" si="9"/>
        <v>11373416.094018156</v>
      </c>
    </row>
    <row r="83" spans="1:6" x14ac:dyDescent="0.25">
      <c r="A83" s="7"/>
      <c r="B83" s="6">
        <f t="shared" si="5"/>
        <v>74</v>
      </c>
      <c r="C83" s="1">
        <f t="shared" si="6"/>
        <v>17269659.556192312</v>
      </c>
      <c r="D83" s="5">
        <f t="shared" si="7"/>
        <v>1125490160.0428455</v>
      </c>
      <c r="E83" s="5">
        <f t="shared" si="8"/>
        <v>5955205.8967958968</v>
      </c>
      <c r="F83" s="1">
        <f t="shared" si="9"/>
        <v>11314453.659396416</v>
      </c>
    </row>
    <row r="84" spans="1:6" x14ac:dyDescent="0.25">
      <c r="A84" s="7"/>
      <c r="B84" s="6">
        <f t="shared" si="5"/>
        <v>75</v>
      </c>
      <c r="C84" s="1">
        <f t="shared" si="6"/>
        <v>17269659.556192312</v>
      </c>
      <c r="D84" s="5">
        <f t="shared" si="7"/>
        <v>1119475402.0870817</v>
      </c>
      <c r="E84" s="5">
        <f t="shared" si="8"/>
        <v>6014757.9557638578</v>
      </c>
      <c r="F84" s="1">
        <f t="shared" si="9"/>
        <v>11254901.600428455</v>
      </c>
    </row>
    <row r="85" spans="1:6" x14ac:dyDescent="0.25">
      <c r="A85" s="7"/>
      <c r="B85" s="6">
        <f t="shared" si="5"/>
        <v>76</v>
      </c>
      <c r="C85" s="1">
        <f t="shared" si="6"/>
        <v>17269659.556192312</v>
      </c>
      <c r="D85" s="5">
        <f t="shared" si="7"/>
        <v>1113400496.5517602</v>
      </c>
      <c r="E85" s="5">
        <f t="shared" si="8"/>
        <v>6074905.5353214946</v>
      </c>
      <c r="F85" s="1">
        <f t="shared" si="9"/>
        <v>11194754.020870818</v>
      </c>
    </row>
    <row r="86" spans="1:6" x14ac:dyDescent="0.25">
      <c r="A86" s="7"/>
      <c r="B86" s="6">
        <f t="shared" si="5"/>
        <v>77</v>
      </c>
      <c r="C86" s="1">
        <f t="shared" si="6"/>
        <v>17269659.556192312</v>
      </c>
      <c r="D86" s="5">
        <f t="shared" si="7"/>
        <v>1107264841.9610856</v>
      </c>
      <c r="E86" s="5">
        <f t="shared" si="8"/>
        <v>6135654.5906747114</v>
      </c>
      <c r="F86" s="1">
        <f t="shared" si="9"/>
        <v>11134004.965517601</v>
      </c>
    </row>
    <row r="87" spans="1:6" x14ac:dyDescent="0.25">
      <c r="A87" s="7"/>
      <c r="B87" s="6">
        <f t="shared" si="5"/>
        <v>78</v>
      </c>
      <c r="C87" s="1">
        <f t="shared" si="6"/>
        <v>17269659.556192312</v>
      </c>
      <c r="D87" s="5">
        <f t="shared" si="7"/>
        <v>1101067830.8245041</v>
      </c>
      <c r="E87" s="5">
        <f t="shared" si="8"/>
        <v>6197011.1365814563</v>
      </c>
      <c r="F87" s="1">
        <f t="shared" si="9"/>
        <v>11072648.419610856</v>
      </c>
    </row>
    <row r="88" spans="1:6" x14ac:dyDescent="0.25">
      <c r="A88" s="7"/>
      <c r="B88" s="6">
        <f t="shared" si="5"/>
        <v>79</v>
      </c>
      <c r="C88" s="1">
        <f t="shared" si="6"/>
        <v>17269659.556192312</v>
      </c>
      <c r="D88" s="5">
        <f t="shared" si="7"/>
        <v>1094808849.5765569</v>
      </c>
      <c r="E88" s="5">
        <f t="shared" si="8"/>
        <v>6258981.2479472719</v>
      </c>
      <c r="F88" s="1">
        <f t="shared" si="9"/>
        <v>11010678.30824504</v>
      </c>
    </row>
    <row r="89" spans="1:6" x14ac:dyDescent="0.25">
      <c r="A89" s="7"/>
      <c r="B89" s="6">
        <f t="shared" si="5"/>
        <v>80</v>
      </c>
      <c r="C89" s="1">
        <f t="shared" si="6"/>
        <v>17269659.556192312</v>
      </c>
      <c r="D89" s="5">
        <f t="shared" si="7"/>
        <v>1088487278.5161302</v>
      </c>
      <c r="E89" s="5">
        <f t="shared" si="8"/>
        <v>6321571.0604267437</v>
      </c>
      <c r="F89" s="1">
        <f t="shared" si="9"/>
        <v>10948088.495765569</v>
      </c>
    </row>
    <row r="90" spans="1:6" x14ac:dyDescent="0.25">
      <c r="A90" s="7"/>
      <c r="B90" s="6">
        <f t="shared" si="5"/>
        <v>81</v>
      </c>
      <c r="C90" s="1">
        <f t="shared" si="6"/>
        <v>17269659.556192312</v>
      </c>
      <c r="D90" s="5">
        <f t="shared" si="7"/>
        <v>1082102491.7450993</v>
      </c>
      <c r="E90" s="5">
        <f t="shared" si="8"/>
        <v>6384786.7710310109</v>
      </c>
      <c r="F90" s="1">
        <f t="shared" si="9"/>
        <v>10884872.785161301</v>
      </c>
    </row>
    <row r="91" spans="1:6" x14ac:dyDescent="0.25">
      <c r="A91" s="7"/>
      <c r="B91" s="6">
        <f t="shared" si="5"/>
        <v>82</v>
      </c>
      <c r="C91" s="1">
        <f t="shared" si="6"/>
        <v>17269659.556192312</v>
      </c>
      <c r="D91" s="5">
        <f t="shared" si="7"/>
        <v>1075653857.1063581</v>
      </c>
      <c r="E91" s="5">
        <f t="shared" si="8"/>
        <v>6448634.63874132</v>
      </c>
      <c r="F91" s="1">
        <f t="shared" si="9"/>
        <v>10821024.917450992</v>
      </c>
    </row>
    <row r="92" spans="1:6" x14ac:dyDescent="0.25">
      <c r="A92" s="7"/>
      <c r="B92" s="6">
        <f t="shared" si="5"/>
        <v>83</v>
      </c>
      <c r="C92" s="1">
        <f t="shared" si="6"/>
        <v>17269659.556192312</v>
      </c>
      <c r="D92" s="5">
        <f t="shared" si="7"/>
        <v>1069140736.1212293</v>
      </c>
      <c r="E92" s="5">
        <f t="shared" si="8"/>
        <v>6513120.9851287324</v>
      </c>
      <c r="F92" s="1">
        <f t="shared" si="9"/>
        <v>10756538.57106358</v>
      </c>
    </row>
    <row r="93" spans="1:6" x14ac:dyDescent="0.25">
      <c r="A93" s="7"/>
      <c r="B93" s="6">
        <f t="shared" si="5"/>
        <v>84</v>
      </c>
      <c r="C93" s="1">
        <f t="shared" si="6"/>
        <v>17269659.556192312</v>
      </c>
      <c r="D93" s="5">
        <f t="shared" si="7"/>
        <v>1062562483.9262493</v>
      </c>
      <c r="E93" s="5">
        <f t="shared" si="8"/>
        <v>6578252.1949800197</v>
      </c>
      <c r="F93" s="1">
        <f t="shared" si="9"/>
        <v>10691407.361212293</v>
      </c>
    </row>
    <row r="94" spans="1:6" x14ac:dyDescent="0.25">
      <c r="A94" s="7" t="s">
        <v>29</v>
      </c>
      <c r="B94" s="6">
        <f t="shared" si="5"/>
        <v>85</v>
      </c>
      <c r="C94" s="1">
        <f t="shared" si="6"/>
        <v>17269659.556192312</v>
      </c>
      <c r="D94" s="5">
        <f t="shared" si="7"/>
        <v>1055918449.2093195</v>
      </c>
      <c r="E94" s="5">
        <f t="shared" si="8"/>
        <v>6644034.7169298213</v>
      </c>
      <c r="F94" s="1">
        <f t="shared" si="9"/>
        <v>10625624.839262491</v>
      </c>
    </row>
    <row r="95" spans="1:6" x14ac:dyDescent="0.25">
      <c r="A95" s="7"/>
      <c r="B95" s="6">
        <f t="shared" si="5"/>
        <v>86</v>
      </c>
      <c r="C95" s="1">
        <f t="shared" si="6"/>
        <v>17269659.556192312</v>
      </c>
      <c r="D95" s="5">
        <f t="shared" si="7"/>
        <v>1049207974.1452204</v>
      </c>
      <c r="E95" s="5">
        <f t="shared" si="8"/>
        <v>6710475.0640991181</v>
      </c>
      <c r="F95" s="1">
        <f t="shared" si="9"/>
        <v>10559184.492093194</v>
      </c>
    </row>
    <row r="96" spans="1:6" x14ac:dyDescent="0.25">
      <c r="A96" s="7"/>
      <c r="B96" s="6">
        <f t="shared" si="5"/>
        <v>87</v>
      </c>
      <c r="C96" s="1">
        <f t="shared" si="6"/>
        <v>17269659.556192312</v>
      </c>
      <c r="D96" s="5">
        <f t="shared" si="7"/>
        <v>1042430394.3304803</v>
      </c>
      <c r="E96" s="5">
        <f t="shared" si="8"/>
        <v>6777579.8147401083</v>
      </c>
      <c r="F96" s="1">
        <f t="shared" si="9"/>
        <v>10492079.741452204</v>
      </c>
    </row>
    <row r="97" spans="1:6" x14ac:dyDescent="0.25">
      <c r="A97" s="7"/>
      <c r="B97" s="6">
        <f t="shared" si="5"/>
        <v>88</v>
      </c>
      <c r="C97" s="1">
        <f t="shared" si="6"/>
        <v>17269659.556192312</v>
      </c>
      <c r="D97" s="5">
        <f t="shared" si="7"/>
        <v>1035585038.7175928</v>
      </c>
      <c r="E97" s="5">
        <f t="shared" si="8"/>
        <v>6845355.6128875092</v>
      </c>
      <c r="F97" s="1">
        <f t="shared" si="9"/>
        <v>10424303.943304803</v>
      </c>
    </row>
    <row r="98" spans="1:6" x14ac:dyDescent="0.25">
      <c r="A98" s="7"/>
      <c r="B98" s="6">
        <f t="shared" si="5"/>
        <v>89</v>
      </c>
      <c r="C98" s="1">
        <f t="shared" si="6"/>
        <v>17269659.556192312</v>
      </c>
      <c r="D98" s="5">
        <f t="shared" si="7"/>
        <v>1028671229.5485765</v>
      </c>
      <c r="E98" s="5">
        <f t="shared" si="8"/>
        <v>6913809.1690163855</v>
      </c>
      <c r="F98" s="1">
        <f t="shared" si="9"/>
        <v>10355850.387175927</v>
      </c>
    </row>
    <row r="99" spans="1:6" x14ac:dyDescent="0.25">
      <c r="A99" s="7"/>
      <c r="B99" s="6">
        <f t="shared" si="5"/>
        <v>90</v>
      </c>
      <c r="C99" s="1">
        <f t="shared" si="6"/>
        <v>17269659.556192312</v>
      </c>
      <c r="D99" s="5">
        <f t="shared" si="7"/>
        <v>1021688282.2878699</v>
      </c>
      <c r="E99" s="5">
        <f t="shared" si="8"/>
        <v>6982947.2607065476</v>
      </c>
      <c r="F99" s="1">
        <f t="shared" si="9"/>
        <v>10286712.295485765</v>
      </c>
    </row>
    <row r="100" spans="1:6" x14ac:dyDescent="0.25">
      <c r="A100" s="7"/>
      <c r="B100" s="6">
        <f t="shared" si="5"/>
        <v>91</v>
      </c>
      <c r="C100" s="1">
        <f t="shared" si="6"/>
        <v>17269659.556192312</v>
      </c>
      <c r="D100" s="5">
        <f t="shared" si="7"/>
        <v>1014635505.5545564</v>
      </c>
      <c r="E100" s="5">
        <f t="shared" si="8"/>
        <v>7052776.7333136145</v>
      </c>
      <c r="F100" s="1">
        <f t="shared" si="9"/>
        <v>10216882.822878698</v>
      </c>
    </row>
    <row r="101" spans="1:6" x14ac:dyDescent="0.25">
      <c r="A101" s="7"/>
      <c r="B101" s="6">
        <f t="shared" si="5"/>
        <v>92</v>
      </c>
      <c r="C101" s="1">
        <f t="shared" si="6"/>
        <v>17269659.556192312</v>
      </c>
      <c r="D101" s="5">
        <f t="shared" si="7"/>
        <v>1007512201.0539097</v>
      </c>
      <c r="E101" s="5">
        <f t="shared" si="8"/>
        <v>7123304.5006467495</v>
      </c>
      <c r="F101" s="1">
        <f t="shared" si="9"/>
        <v>10146355.055545563</v>
      </c>
    </row>
    <row r="102" spans="1:6" x14ac:dyDescent="0.25">
      <c r="A102" s="7"/>
      <c r="B102" s="6">
        <f t="shared" si="5"/>
        <v>93</v>
      </c>
      <c r="C102" s="1">
        <f t="shared" si="6"/>
        <v>17269659.556192312</v>
      </c>
      <c r="D102" s="5">
        <f t="shared" si="7"/>
        <v>1000317663.5082564</v>
      </c>
      <c r="E102" s="5">
        <f t="shared" si="8"/>
        <v>7194537.5456532165</v>
      </c>
      <c r="F102" s="1">
        <f t="shared" si="9"/>
        <v>10075122.010539096</v>
      </c>
    </row>
    <row r="103" spans="1:6" x14ac:dyDescent="0.25">
      <c r="A103" s="7"/>
      <c r="B103" s="6">
        <f t="shared" si="5"/>
        <v>94</v>
      </c>
      <c r="C103" s="1">
        <f t="shared" si="6"/>
        <v>17269659.556192312</v>
      </c>
      <c r="D103" s="5">
        <f t="shared" si="7"/>
        <v>993051180.58714664</v>
      </c>
      <c r="E103" s="5">
        <f t="shared" si="8"/>
        <v>7266482.921109749</v>
      </c>
      <c r="F103" s="1">
        <f t="shared" si="9"/>
        <v>10003176.635082563</v>
      </c>
    </row>
    <row r="104" spans="1:6" x14ac:dyDescent="0.25">
      <c r="A104" s="7"/>
      <c r="B104" s="6">
        <f t="shared" si="5"/>
        <v>95</v>
      </c>
      <c r="C104" s="1">
        <f t="shared" si="6"/>
        <v>17269659.556192312</v>
      </c>
      <c r="D104" s="5">
        <f t="shared" si="7"/>
        <v>985712032.83682585</v>
      </c>
      <c r="E104" s="5">
        <f t="shared" si="8"/>
        <v>7339147.7503208462</v>
      </c>
      <c r="F104" s="1">
        <f t="shared" si="9"/>
        <v>9930511.8058714662</v>
      </c>
    </row>
    <row r="105" spans="1:6" x14ac:dyDescent="0.25">
      <c r="A105" s="7"/>
      <c r="B105" s="6">
        <f t="shared" si="5"/>
        <v>96</v>
      </c>
      <c r="C105" s="1">
        <f t="shared" si="6"/>
        <v>17269659.556192312</v>
      </c>
      <c r="D105" s="5">
        <f t="shared" si="7"/>
        <v>978299493.60900176</v>
      </c>
      <c r="E105" s="5">
        <f t="shared" si="8"/>
        <v>7412539.2278240547</v>
      </c>
      <c r="F105" s="1">
        <f t="shared" si="9"/>
        <v>9857120.3283682577</v>
      </c>
    </row>
    <row r="106" spans="1:6" x14ac:dyDescent="0.25">
      <c r="A106" s="7" t="s">
        <v>30</v>
      </c>
      <c r="B106" s="6">
        <f t="shared" si="5"/>
        <v>97</v>
      </c>
      <c r="C106" s="1">
        <f t="shared" si="6"/>
        <v>17269659.556192312</v>
      </c>
      <c r="D106" s="5">
        <f t="shared" si="7"/>
        <v>970812828.98889947</v>
      </c>
      <c r="E106" s="5">
        <f t="shared" si="8"/>
        <v>7486664.6201022957</v>
      </c>
      <c r="F106" s="1">
        <f t="shared" si="9"/>
        <v>9782994.9360900167</v>
      </c>
    </row>
    <row r="107" spans="1:6" x14ac:dyDescent="0.25">
      <c r="A107" s="7"/>
      <c r="B107" s="6">
        <f t="shared" si="5"/>
        <v>98</v>
      </c>
      <c r="C107" s="1">
        <f t="shared" si="6"/>
        <v>17269659.556192312</v>
      </c>
      <c r="D107" s="5">
        <f t="shared" si="7"/>
        <v>963251297.72259617</v>
      </c>
      <c r="E107" s="5">
        <f t="shared" si="8"/>
        <v>7561531.2663033176</v>
      </c>
      <c r="F107" s="1">
        <f t="shared" si="9"/>
        <v>9708128.2898889948</v>
      </c>
    </row>
    <row r="108" spans="1:6" x14ac:dyDescent="0.25">
      <c r="A108" s="7"/>
      <c r="B108" s="6">
        <f t="shared" si="5"/>
        <v>99</v>
      </c>
      <c r="C108" s="1">
        <f t="shared" si="6"/>
        <v>17269659.556192312</v>
      </c>
      <c r="D108" s="5">
        <f t="shared" si="7"/>
        <v>955614151.14362979</v>
      </c>
      <c r="E108" s="5">
        <f t="shared" si="8"/>
        <v>7637146.5789663512</v>
      </c>
      <c r="F108" s="1">
        <f t="shared" si="9"/>
        <v>9632512.9772259612</v>
      </c>
    </row>
    <row r="109" spans="1:6" x14ac:dyDescent="0.25">
      <c r="A109" s="7"/>
      <c r="B109" s="6">
        <f t="shared" si="5"/>
        <v>100</v>
      </c>
      <c r="C109" s="1">
        <f t="shared" si="6"/>
        <v>17269659.556192312</v>
      </c>
      <c r="D109" s="5">
        <f t="shared" si="7"/>
        <v>947900633.09887373</v>
      </c>
      <c r="E109" s="5">
        <f t="shared" si="8"/>
        <v>7713518.0447560158</v>
      </c>
      <c r="F109" s="1">
        <f t="shared" si="9"/>
        <v>9556141.5114362966</v>
      </c>
    </row>
    <row r="110" spans="1:6" x14ac:dyDescent="0.25">
      <c r="A110" s="7"/>
      <c r="B110" s="6">
        <f t="shared" si="5"/>
        <v>101</v>
      </c>
      <c r="C110" s="1">
        <f t="shared" si="6"/>
        <v>17269659.556192312</v>
      </c>
      <c r="D110" s="5">
        <f t="shared" si="7"/>
        <v>940109979.8736701</v>
      </c>
      <c r="E110" s="5">
        <f t="shared" si="8"/>
        <v>7790653.2252035756</v>
      </c>
      <c r="F110" s="1">
        <f t="shared" si="9"/>
        <v>9479006.3309887368</v>
      </c>
    </row>
    <row r="111" spans="1:6" x14ac:dyDescent="0.25">
      <c r="A111" s="7"/>
      <c r="B111" s="6">
        <f t="shared" si="5"/>
        <v>102</v>
      </c>
      <c r="C111" s="1">
        <f t="shared" si="6"/>
        <v>17269659.556192312</v>
      </c>
      <c r="D111" s="5">
        <f t="shared" si="7"/>
        <v>932241420.11621451</v>
      </c>
      <c r="E111" s="5">
        <f t="shared" si="8"/>
        <v>7868559.7574556116</v>
      </c>
      <c r="F111" s="1">
        <f t="shared" si="9"/>
        <v>9401099.7987367008</v>
      </c>
    </row>
    <row r="112" spans="1:6" x14ac:dyDescent="0.25">
      <c r="A112" s="7"/>
      <c r="B112" s="6">
        <f t="shared" si="5"/>
        <v>103</v>
      </c>
      <c r="C112" s="1">
        <f t="shared" si="6"/>
        <v>17269659.556192312</v>
      </c>
      <c r="D112" s="5">
        <f t="shared" si="7"/>
        <v>924294174.76118433</v>
      </c>
      <c r="E112" s="5">
        <f t="shared" si="8"/>
        <v>7947245.3550301678</v>
      </c>
      <c r="F112" s="1">
        <f t="shared" si="9"/>
        <v>9322414.2011621445</v>
      </c>
    </row>
    <row r="113" spans="1:6" x14ac:dyDescent="0.25">
      <c r="A113" s="7"/>
      <c r="B113" s="6">
        <f t="shared" si="5"/>
        <v>104</v>
      </c>
      <c r="C113" s="1">
        <f t="shared" si="6"/>
        <v>17269659.556192312</v>
      </c>
      <c r="D113" s="5">
        <f t="shared" si="7"/>
        <v>916267456.95260382</v>
      </c>
      <c r="E113" s="5">
        <f t="shared" si="8"/>
        <v>8026717.8085804693</v>
      </c>
      <c r="F113" s="1">
        <f t="shared" si="9"/>
        <v>9242941.747611843</v>
      </c>
    </row>
    <row r="114" spans="1:6" x14ac:dyDescent="0.25">
      <c r="A114" s="7"/>
      <c r="B114" s="6">
        <f t="shared" si="5"/>
        <v>105</v>
      </c>
      <c r="C114" s="1">
        <f t="shared" si="6"/>
        <v>17269659.556192312</v>
      </c>
      <c r="D114" s="5">
        <f t="shared" si="7"/>
        <v>908160471.9659375</v>
      </c>
      <c r="E114" s="5">
        <f t="shared" si="8"/>
        <v>8106984.9866662752</v>
      </c>
      <c r="F114" s="1">
        <f t="shared" si="9"/>
        <v>9162674.5695260372</v>
      </c>
    </row>
    <row r="115" spans="1:6" x14ac:dyDescent="0.25">
      <c r="A115" s="7"/>
      <c r="B115" s="6">
        <f t="shared" si="5"/>
        <v>106</v>
      </c>
      <c r="C115" s="1">
        <f t="shared" si="6"/>
        <v>17269659.556192312</v>
      </c>
      <c r="D115" s="5">
        <f t="shared" si="7"/>
        <v>899972417.12940454</v>
      </c>
      <c r="E115" s="5">
        <f t="shared" si="8"/>
        <v>8188054.8365329374</v>
      </c>
      <c r="F115" s="1">
        <f t="shared" si="9"/>
        <v>9081604.719659375</v>
      </c>
    </row>
    <row r="116" spans="1:6" x14ac:dyDescent="0.25">
      <c r="A116" s="7"/>
      <c r="B116" s="6">
        <f t="shared" si="5"/>
        <v>107</v>
      </c>
      <c r="C116" s="1">
        <f t="shared" si="6"/>
        <v>17269659.556192312</v>
      </c>
      <c r="D116" s="5">
        <f t="shared" si="7"/>
        <v>891702481.74450624</v>
      </c>
      <c r="E116" s="5">
        <f t="shared" si="8"/>
        <v>8269935.3848982677</v>
      </c>
      <c r="F116" s="1">
        <f t="shared" si="9"/>
        <v>8999724.1712940447</v>
      </c>
    </row>
    <row r="117" spans="1:6" x14ac:dyDescent="0.25">
      <c r="A117" s="7"/>
      <c r="B117" s="6">
        <f t="shared" si="5"/>
        <v>108</v>
      </c>
      <c r="C117" s="1">
        <f t="shared" si="6"/>
        <v>17269659.556192312</v>
      </c>
      <c r="D117" s="5">
        <f t="shared" si="7"/>
        <v>883349847.005759</v>
      </c>
      <c r="E117" s="5">
        <f t="shared" si="8"/>
        <v>8352634.7387472503</v>
      </c>
      <c r="F117" s="1">
        <f t="shared" si="9"/>
        <v>8917024.8174450621</v>
      </c>
    </row>
    <row r="118" spans="1:6" x14ac:dyDescent="0.25">
      <c r="A118" s="7" t="s">
        <v>31</v>
      </c>
      <c r="B118" s="6">
        <f t="shared" si="5"/>
        <v>109</v>
      </c>
      <c r="C118" s="1">
        <f t="shared" si="6"/>
        <v>17269659.556192312</v>
      </c>
      <c r="D118" s="5">
        <f t="shared" si="7"/>
        <v>874913685.91962433</v>
      </c>
      <c r="E118" s="5">
        <f t="shared" si="8"/>
        <v>8436161.0861347225</v>
      </c>
      <c r="F118" s="1">
        <f t="shared" si="9"/>
        <v>8833498.4700575899</v>
      </c>
    </row>
    <row r="119" spans="1:6" x14ac:dyDescent="0.25">
      <c r="A119" s="7"/>
      <c r="B119" s="6">
        <f t="shared" si="5"/>
        <v>110</v>
      </c>
      <c r="C119" s="1">
        <f t="shared" si="6"/>
        <v>17269659.556192312</v>
      </c>
      <c r="D119" s="5">
        <f t="shared" si="7"/>
        <v>866393163.22262824</v>
      </c>
      <c r="E119" s="5">
        <f t="shared" si="8"/>
        <v>8520522.6969960686</v>
      </c>
      <c r="F119" s="1">
        <f t="shared" si="9"/>
        <v>8749136.8591962438</v>
      </c>
    </row>
    <row r="120" spans="1:6" x14ac:dyDescent="0.25">
      <c r="A120" s="7"/>
      <c r="B120" s="6">
        <f t="shared" si="5"/>
        <v>111</v>
      </c>
      <c r="C120" s="1">
        <f t="shared" si="6"/>
        <v>17269659.556192312</v>
      </c>
      <c r="D120" s="5">
        <f t="shared" si="7"/>
        <v>857787435.29866219</v>
      </c>
      <c r="E120" s="5">
        <f t="shared" si="8"/>
        <v>8605727.9239660297</v>
      </c>
      <c r="F120" s="1">
        <f t="shared" si="9"/>
        <v>8663931.6322262827</v>
      </c>
    </row>
    <row r="121" spans="1:6" x14ac:dyDescent="0.25">
      <c r="A121" s="7"/>
      <c r="B121" s="6">
        <f t="shared" si="5"/>
        <v>112</v>
      </c>
      <c r="C121" s="1">
        <f t="shared" si="6"/>
        <v>17269659.556192312</v>
      </c>
      <c r="D121" s="5">
        <f t="shared" si="7"/>
        <v>849095650.09545648</v>
      </c>
      <c r="E121" s="5">
        <f t="shared" si="8"/>
        <v>8691785.2032056917</v>
      </c>
      <c r="F121" s="1">
        <f t="shared" si="9"/>
        <v>8577874.3529866207</v>
      </c>
    </row>
    <row r="122" spans="1:6" x14ac:dyDescent="0.25">
      <c r="A122" s="7"/>
      <c r="B122" s="6">
        <f t="shared" si="5"/>
        <v>113</v>
      </c>
      <c r="C122" s="1">
        <f t="shared" si="6"/>
        <v>17269659.556192312</v>
      </c>
      <c r="D122" s="5">
        <f t="shared" si="7"/>
        <v>840316947.04021871</v>
      </c>
      <c r="E122" s="5">
        <f t="shared" si="8"/>
        <v>8778703.0552377477</v>
      </c>
      <c r="F122" s="1">
        <f t="shared" si="9"/>
        <v>8490956.5009545647</v>
      </c>
    </row>
    <row r="123" spans="1:6" x14ac:dyDescent="0.25">
      <c r="A123" s="7"/>
      <c r="B123" s="6">
        <f t="shared" si="5"/>
        <v>114</v>
      </c>
      <c r="C123" s="1">
        <f t="shared" si="6"/>
        <v>17269659.556192312</v>
      </c>
      <c r="D123" s="5">
        <f t="shared" si="7"/>
        <v>831450456.95442855</v>
      </c>
      <c r="E123" s="5">
        <f t="shared" si="8"/>
        <v>8866490.0857901257</v>
      </c>
      <c r="F123" s="1">
        <f t="shared" si="9"/>
        <v>8403169.4704021867</v>
      </c>
    </row>
    <row r="124" spans="1:6" x14ac:dyDescent="0.25">
      <c r="A124" s="7"/>
      <c r="B124" s="6">
        <f t="shared" si="5"/>
        <v>115</v>
      </c>
      <c r="C124" s="1">
        <f t="shared" si="6"/>
        <v>17269659.556192312</v>
      </c>
      <c r="D124" s="5">
        <f t="shared" si="7"/>
        <v>822495301.96778047</v>
      </c>
      <c r="E124" s="5">
        <f t="shared" si="8"/>
        <v>8955154.9866480269</v>
      </c>
      <c r="F124" s="1">
        <f t="shared" si="9"/>
        <v>8314504.5695442855</v>
      </c>
    </row>
    <row r="125" spans="1:6" x14ac:dyDescent="0.25">
      <c r="A125" s="7"/>
      <c r="B125" s="6">
        <f t="shared" si="5"/>
        <v>116</v>
      </c>
      <c r="C125" s="1">
        <f t="shared" si="6"/>
        <v>17269659.556192312</v>
      </c>
      <c r="D125" s="5">
        <f t="shared" si="7"/>
        <v>813450595.43126595</v>
      </c>
      <c r="E125" s="5">
        <f t="shared" si="8"/>
        <v>9044706.5365145095</v>
      </c>
      <c r="F125" s="1">
        <f t="shared" si="9"/>
        <v>8224953.0196778039</v>
      </c>
    </row>
    <row r="126" spans="1:6" x14ac:dyDescent="0.25">
      <c r="A126" s="7"/>
      <c r="B126" s="6">
        <f t="shared" si="5"/>
        <v>117</v>
      </c>
      <c r="C126" s="1">
        <f t="shared" si="6"/>
        <v>17269659.556192312</v>
      </c>
      <c r="D126" s="5">
        <f t="shared" si="7"/>
        <v>804315441.82938635</v>
      </c>
      <c r="E126" s="5">
        <f t="shared" si="8"/>
        <v>9135153.6018796526</v>
      </c>
      <c r="F126" s="1">
        <f t="shared" si="9"/>
        <v>8134505.9543126598</v>
      </c>
    </row>
    <row r="127" spans="1:6" x14ac:dyDescent="0.25">
      <c r="A127" s="7"/>
      <c r="B127" s="6">
        <f t="shared" si="5"/>
        <v>118</v>
      </c>
      <c r="C127" s="1">
        <f t="shared" si="6"/>
        <v>17269659.556192312</v>
      </c>
      <c r="D127" s="5">
        <f t="shared" si="7"/>
        <v>795088936.69148791</v>
      </c>
      <c r="E127" s="5">
        <f t="shared" si="8"/>
        <v>9226505.1378984489</v>
      </c>
      <c r="F127" s="1">
        <f t="shared" si="9"/>
        <v>8043154.4182938635</v>
      </c>
    </row>
    <row r="128" spans="1:6" x14ac:dyDescent="0.25">
      <c r="A128" s="7"/>
      <c r="B128" s="6">
        <f t="shared" si="5"/>
        <v>119</v>
      </c>
      <c r="C128" s="1">
        <f t="shared" si="6"/>
        <v>17269659.556192312</v>
      </c>
      <c r="D128" s="5">
        <f t="shared" si="7"/>
        <v>785770166.5022105</v>
      </c>
      <c r="E128" s="5">
        <f t="shared" si="8"/>
        <v>9318770.1892774329</v>
      </c>
      <c r="F128" s="1">
        <f t="shared" si="9"/>
        <v>7950889.3669148786</v>
      </c>
    </row>
    <row r="129" spans="1:6" x14ac:dyDescent="0.25">
      <c r="A129" s="7"/>
      <c r="B129" s="6">
        <f t="shared" si="5"/>
        <v>120</v>
      </c>
      <c r="C129" s="1">
        <f t="shared" si="6"/>
        <v>17269659.556192312</v>
      </c>
      <c r="D129" s="5">
        <f t="shared" si="7"/>
        <v>776358208.61104023</v>
      </c>
      <c r="E129" s="5">
        <f t="shared" si="8"/>
        <v>9411957.8911702074</v>
      </c>
      <c r="F129" s="1">
        <f t="shared" si="9"/>
        <v>7857701.665022105</v>
      </c>
    </row>
    <row r="130" spans="1:6" x14ac:dyDescent="0.25">
      <c r="A130" s="7" t="s">
        <v>32</v>
      </c>
      <c r="B130" s="6">
        <f t="shared" si="5"/>
        <v>121</v>
      </c>
      <c r="C130" s="1">
        <f t="shared" si="6"/>
        <v>17269659.556192312</v>
      </c>
      <c r="D130" s="5">
        <f t="shared" si="7"/>
        <v>766852131.14095831</v>
      </c>
      <c r="E130" s="5">
        <f t="shared" si="8"/>
        <v>9506077.4700819105</v>
      </c>
      <c r="F130" s="1">
        <f t="shared" si="9"/>
        <v>7763582.0861104019</v>
      </c>
    </row>
    <row r="131" spans="1:6" x14ac:dyDescent="0.25">
      <c r="A131" s="7"/>
      <c r="B131" s="6">
        <f t="shared" si="5"/>
        <v>122</v>
      </c>
      <c r="C131" s="1">
        <f t="shared" si="6"/>
        <v>17269659.556192312</v>
      </c>
      <c r="D131" s="5">
        <f t="shared" si="7"/>
        <v>757250992.89617562</v>
      </c>
      <c r="E131" s="5">
        <f t="shared" si="8"/>
        <v>9601138.2447827309</v>
      </c>
      <c r="F131" s="1">
        <f t="shared" si="9"/>
        <v>7668521.3114095824</v>
      </c>
    </row>
    <row r="132" spans="1:6" x14ac:dyDescent="0.25">
      <c r="A132" s="7"/>
      <c r="B132" s="6">
        <f t="shared" si="5"/>
        <v>123</v>
      </c>
      <c r="C132" s="1">
        <f t="shared" si="6"/>
        <v>17269659.556192312</v>
      </c>
      <c r="D132" s="5">
        <f t="shared" si="7"/>
        <v>747553843.2689451</v>
      </c>
      <c r="E132" s="5">
        <f t="shared" si="8"/>
        <v>9697149.6272305548</v>
      </c>
      <c r="F132" s="1">
        <f t="shared" si="9"/>
        <v>7572509.9289617566</v>
      </c>
    </row>
    <row r="133" spans="1:6" x14ac:dyDescent="0.25">
      <c r="A133" s="7"/>
      <c r="B133" s="6">
        <f t="shared" si="5"/>
        <v>124</v>
      </c>
      <c r="C133" s="1">
        <f t="shared" si="6"/>
        <v>17269659.556192312</v>
      </c>
      <c r="D133" s="5">
        <f t="shared" si="7"/>
        <v>737759722.14544225</v>
      </c>
      <c r="E133" s="5">
        <f t="shared" si="8"/>
        <v>9794121.1235028617</v>
      </c>
      <c r="F133" s="1">
        <f t="shared" si="9"/>
        <v>7475538.4326894507</v>
      </c>
    </row>
    <row r="134" spans="1:6" x14ac:dyDescent="0.25">
      <c r="A134" s="7"/>
      <c r="B134" s="6">
        <f t="shared" si="5"/>
        <v>125</v>
      </c>
      <c r="C134" s="1">
        <f t="shared" si="6"/>
        <v>17269659.556192312</v>
      </c>
      <c r="D134" s="5">
        <f t="shared" si="7"/>
        <v>727867659.81070435</v>
      </c>
      <c r="E134" s="5">
        <f t="shared" si="8"/>
        <v>9892062.3347378895</v>
      </c>
      <c r="F134" s="1">
        <f t="shared" si="9"/>
        <v>7377597.221454422</v>
      </c>
    </row>
    <row r="135" spans="1:6" x14ac:dyDescent="0.25">
      <c r="A135" s="7"/>
      <c r="B135" s="6">
        <f t="shared" si="5"/>
        <v>126</v>
      </c>
      <c r="C135" s="1">
        <f t="shared" si="6"/>
        <v>17269659.556192312</v>
      </c>
      <c r="D135" s="5">
        <f t="shared" si="7"/>
        <v>717876676.85261905</v>
      </c>
      <c r="E135" s="5">
        <f t="shared" si="8"/>
        <v>9990982.9580852687</v>
      </c>
      <c r="F135" s="1">
        <f t="shared" si="9"/>
        <v>7278676.5981070437</v>
      </c>
    </row>
    <row r="136" spans="1:6" x14ac:dyDescent="0.25">
      <c r="A136" s="7"/>
      <c r="B136" s="6">
        <f t="shared" si="5"/>
        <v>127</v>
      </c>
      <c r="C136" s="1">
        <f t="shared" si="6"/>
        <v>17269659.556192312</v>
      </c>
      <c r="D136" s="5">
        <f t="shared" si="7"/>
        <v>707785784.06495297</v>
      </c>
      <c r="E136" s="5">
        <f t="shared" si="8"/>
        <v>10090892.787666123</v>
      </c>
      <c r="F136" s="1">
        <f t="shared" si="9"/>
        <v>7178766.76852619</v>
      </c>
    </row>
    <row r="137" spans="1:6" x14ac:dyDescent="0.25">
      <c r="A137" s="7"/>
      <c r="B137" s="6">
        <f t="shared" si="5"/>
        <v>128</v>
      </c>
      <c r="C137" s="1">
        <f t="shared" si="6"/>
        <v>17269659.556192312</v>
      </c>
      <c r="D137" s="5">
        <f t="shared" si="7"/>
        <v>697593982.34941018</v>
      </c>
      <c r="E137" s="5">
        <f t="shared" si="8"/>
        <v>10191801.715542782</v>
      </c>
      <c r="F137" s="1">
        <f t="shared" si="9"/>
        <v>7077857.8406495294</v>
      </c>
    </row>
    <row r="138" spans="1:6" x14ac:dyDescent="0.25">
      <c r="A138" s="7"/>
      <c r="B138" s="6">
        <f t="shared" si="5"/>
        <v>129</v>
      </c>
      <c r="C138" s="1">
        <f t="shared" si="6"/>
        <v>17269659.556192312</v>
      </c>
      <c r="D138" s="5">
        <f t="shared" si="7"/>
        <v>687300262.61671197</v>
      </c>
      <c r="E138" s="5">
        <f t="shared" si="8"/>
        <v>10293719.73269821</v>
      </c>
      <c r="F138" s="1">
        <f t="shared" si="9"/>
        <v>6975939.8234941019</v>
      </c>
    </row>
    <row r="139" spans="1:6" x14ac:dyDescent="0.25">
      <c r="A139" s="7"/>
      <c r="B139" s="6">
        <f t="shared" ref="B139:B189" si="10">B138+1</f>
        <v>130</v>
      </c>
      <c r="C139" s="1">
        <f t="shared" ref="C139:C189" si="11">IF(AND($F$1&lt;=$B$2,B139&lt;=$F$1),($B$1*($B$3/12))/(1-1/(1+$B$3/12)^$B$2),($B$5*($B$4/12))/(1-1/(1+$B$4/12)^$F$2))</f>
        <v>17269659.556192312</v>
      </c>
      <c r="D139" s="5">
        <f t="shared" ref="D139:D189" si="12">D138-E139</f>
        <v>676903605.68668675</v>
      </c>
      <c r="E139" s="5">
        <f t="shared" ref="E139:E189" si="13">C139-F139</f>
        <v>10396656.930025194</v>
      </c>
      <c r="F139" s="1">
        <f t="shared" ref="F139:F189" si="14">IF(B139&lt;=$F$1,D138*$B$3/12,D138*$B$4/12)</f>
        <v>6873002.6261671195</v>
      </c>
    </row>
    <row r="140" spans="1:6" x14ac:dyDescent="0.25">
      <c r="A140" s="7"/>
      <c r="B140" s="6">
        <f t="shared" si="10"/>
        <v>131</v>
      </c>
      <c r="C140" s="1">
        <f t="shared" si="11"/>
        <v>17269659.556192312</v>
      </c>
      <c r="D140" s="5">
        <f t="shared" si="12"/>
        <v>666402982.18736136</v>
      </c>
      <c r="E140" s="5">
        <f t="shared" si="13"/>
        <v>10500623.499325447</v>
      </c>
      <c r="F140" s="1">
        <f t="shared" si="14"/>
        <v>6769036.0568668665</v>
      </c>
    </row>
    <row r="141" spans="1:6" x14ac:dyDescent="0.25">
      <c r="A141" s="7"/>
      <c r="B141" s="6">
        <f t="shared" si="10"/>
        <v>132</v>
      </c>
      <c r="C141" s="1">
        <f t="shared" si="11"/>
        <v>17269659.556192312</v>
      </c>
      <c r="D141" s="5">
        <f t="shared" si="12"/>
        <v>655797352.45304263</v>
      </c>
      <c r="E141" s="5">
        <f t="shared" si="13"/>
        <v>10605629.7343187</v>
      </c>
      <c r="F141" s="1">
        <f t="shared" si="14"/>
        <v>6664029.8218736136</v>
      </c>
    </row>
    <row r="142" spans="1:6" x14ac:dyDescent="0.25">
      <c r="A142" s="7" t="s">
        <v>33</v>
      </c>
      <c r="B142" s="6">
        <f t="shared" si="10"/>
        <v>133</v>
      </c>
      <c r="C142" s="1">
        <f t="shared" si="11"/>
        <v>17269659.556192312</v>
      </c>
      <c r="D142" s="5">
        <f t="shared" si="12"/>
        <v>645085666.42138076</v>
      </c>
      <c r="E142" s="5">
        <f t="shared" si="13"/>
        <v>10711686.031661887</v>
      </c>
      <c r="F142" s="1">
        <f t="shared" si="14"/>
        <v>6557973.5245304257</v>
      </c>
    </row>
    <row r="143" spans="1:6" x14ac:dyDescent="0.25">
      <c r="A143" s="7"/>
      <c r="B143" s="6">
        <f t="shared" si="10"/>
        <v>134</v>
      </c>
      <c r="C143" s="1">
        <f t="shared" si="11"/>
        <v>17269659.556192312</v>
      </c>
      <c r="D143" s="5">
        <f t="shared" si="12"/>
        <v>634266863.52940226</v>
      </c>
      <c r="E143" s="5">
        <f t="shared" si="13"/>
        <v>10818802.891978506</v>
      </c>
      <c r="F143" s="1">
        <f t="shared" si="14"/>
        <v>6450856.6642138073</v>
      </c>
    </row>
    <row r="144" spans="1:6" x14ac:dyDescent="0.25">
      <c r="A144" s="7"/>
      <c r="B144" s="6">
        <f t="shared" si="10"/>
        <v>135</v>
      </c>
      <c r="C144" s="1">
        <f t="shared" si="11"/>
        <v>17269659.556192312</v>
      </c>
      <c r="D144" s="5">
        <f t="shared" si="12"/>
        <v>623339872.60850394</v>
      </c>
      <c r="E144" s="5">
        <f t="shared" si="13"/>
        <v>10926990.920898288</v>
      </c>
      <c r="F144" s="1">
        <f t="shared" si="14"/>
        <v>6342668.635294023</v>
      </c>
    </row>
    <row r="145" spans="1:6" x14ac:dyDescent="0.25">
      <c r="A145" s="7"/>
      <c r="B145" s="6">
        <f t="shared" si="10"/>
        <v>136</v>
      </c>
      <c r="C145" s="1">
        <f t="shared" si="11"/>
        <v>17269659.556192312</v>
      </c>
      <c r="D145" s="5">
        <f t="shared" si="12"/>
        <v>612303611.77839661</v>
      </c>
      <c r="E145" s="5">
        <f t="shared" si="13"/>
        <v>11036260.830107272</v>
      </c>
      <c r="F145" s="1">
        <f t="shared" si="14"/>
        <v>6233398.7260850398</v>
      </c>
    </row>
    <row r="146" spans="1:6" x14ac:dyDescent="0.25">
      <c r="A146" s="7"/>
      <c r="B146" s="6">
        <f t="shared" si="10"/>
        <v>137</v>
      </c>
      <c r="C146" s="1">
        <f t="shared" si="11"/>
        <v>17269659.556192312</v>
      </c>
      <c r="D146" s="5">
        <f t="shared" si="12"/>
        <v>601156988.33998823</v>
      </c>
      <c r="E146" s="5">
        <f t="shared" si="13"/>
        <v>11146623.438408345</v>
      </c>
      <c r="F146" s="1">
        <f t="shared" si="14"/>
        <v>6123036.1177839665</v>
      </c>
    </row>
    <row r="147" spans="1:6" x14ac:dyDescent="0.25">
      <c r="A147" s="7"/>
      <c r="B147" s="6">
        <f t="shared" si="10"/>
        <v>138</v>
      </c>
      <c r="C147" s="1">
        <f t="shared" si="11"/>
        <v>17269659.556192312</v>
      </c>
      <c r="D147" s="5">
        <f t="shared" si="12"/>
        <v>589898898.6671958</v>
      </c>
      <c r="E147" s="5">
        <f t="shared" si="13"/>
        <v>11258089.672792431</v>
      </c>
      <c r="F147" s="1">
        <f t="shared" si="14"/>
        <v>6011569.8833998824</v>
      </c>
    </row>
    <row r="148" spans="1:6" x14ac:dyDescent="0.25">
      <c r="A148" s="7"/>
      <c r="B148" s="6">
        <f t="shared" si="10"/>
        <v>139</v>
      </c>
      <c r="C148" s="1">
        <f t="shared" si="11"/>
        <v>17269659.556192312</v>
      </c>
      <c r="D148" s="5">
        <f t="shared" si="12"/>
        <v>578528228.09767544</v>
      </c>
      <c r="E148" s="5">
        <f t="shared" si="13"/>
        <v>11370670.569520354</v>
      </c>
      <c r="F148" s="1">
        <f t="shared" si="14"/>
        <v>5898988.9866719581</v>
      </c>
    </row>
    <row r="149" spans="1:6" x14ac:dyDescent="0.25">
      <c r="A149" s="7"/>
      <c r="B149" s="6">
        <f t="shared" si="10"/>
        <v>140</v>
      </c>
      <c r="C149" s="1">
        <f t="shared" si="11"/>
        <v>17269659.556192312</v>
      </c>
      <c r="D149" s="5">
        <f t="shared" si="12"/>
        <v>567043850.82245994</v>
      </c>
      <c r="E149" s="5">
        <f t="shared" si="13"/>
        <v>11484377.275215559</v>
      </c>
      <c r="F149" s="1">
        <f t="shared" si="14"/>
        <v>5785282.2809767537</v>
      </c>
    </row>
    <row r="150" spans="1:6" x14ac:dyDescent="0.25">
      <c r="A150" s="7"/>
      <c r="B150" s="6">
        <f t="shared" si="10"/>
        <v>141</v>
      </c>
      <c r="C150" s="1">
        <f t="shared" si="11"/>
        <v>17269659.556192312</v>
      </c>
      <c r="D150" s="5">
        <f t="shared" si="12"/>
        <v>555444629.77449226</v>
      </c>
      <c r="E150" s="5">
        <f t="shared" si="13"/>
        <v>11599221.047967713</v>
      </c>
      <c r="F150" s="1">
        <f t="shared" si="14"/>
        <v>5670438.5082245991</v>
      </c>
    </row>
    <row r="151" spans="1:6" x14ac:dyDescent="0.25">
      <c r="A151" s="7"/>
      <c r="B151" s="6">
        <f t="shared" si="10"/>
        <v>142</v>
      </c>
      <c r="C151" s="1">
        <f t="shared" si="11"/>
        <v>17269659.556192312</v>
      </c>
      <c r="D151" s="5">
        <f t="shared" si="12"/>
        <v>543729416.51604486</v>
      </c>
      <c r="E151" s="5">
        <f t="shared" si="13"/>
        <v>11715213.25844739</v>
      </c>
      <c r="F151" s="1">
        <f t="shared" si="14"/>
        <v>5554446.2977449223</v>
      </c>
    </row>
    <row r="152" spans="1:6" x14ac:dyDescent="0.25">
      <c r="A152" s="7"/>
      <c r="B152" s="6">
        <f t="shared" si="10"/>
        <v>143</v>
      </c>
      <c r="C152" s="1">
        <f t="shared" si="11"/>
        <v>17269659.556192312</v>
      </c>
      <c r="D152" s="5">
        <f t="shared" si="12"/>
        <v>531897051.12501299</v>
      </c>
      <c r="E152" s="5">
        <f t="shared" si="13"/>
        <v>11832365.391031865</v>
      </c>
      <c r="F152" s="1">
        <f t="shared" si="14"/>
        <v>5437294.1651604483</v>
      </c>
    </row>
    <row r="153" spans="1:6" x14ac:dyDescent="0.25">
      <c r="A153" s="7"/>
      <c r="B153" s="6">
        <f t="shared" si="10"/>
        <v>144</v>
      </c>
      <c r="C153" s="1">
        <f t="shared" si="11"/>
        <v>17269659.556192312</v>
      </c>
      <c r="D153" s="5">
        <f t="shared" si="12"/>
        <v>519946362.08007079</v>
      </c>
      <c r="E153" s="5">
        <f t="shared" si="13"/>
        <v>11950689.044942182</v>
      </c>
      <c r="F153" s="1">
        <f t="shared" si="14"/>
        <v>5318970.5112501299</v>
      </c>
    </row>
    <row r="154" spans="1:6" x14ac:dyDescent="0.25">
      <c r="A154" s="7" t="s">
        <v>34</v>
      </c>
      <c r="B154" s="6">
        <f t="shared" si="10"/>
        <v>145</v>
      </c>
      <c r="C154" s="1">
        <f t="shared" si="11"/>
        <v>17269659.556192312</v>
      </c>
      <c r="D154" s="5">
        <f t="shared" si="12"/>
        <v>507876166.14467919</v>
      </c>
      <c r="E154" s="5">
        <f t="shared" si="13"/>
        <v>12070195.935391605</v>
      </c>
      <c r="F154" s="1">
        <f t="shared" si="14"/>
        <v>5199463.6208007075</v>
      </c>
    </row>
    <row r="155" spans="1:6" x14ac:dyDescent="0.25">
      <c r="A155" s="7"/>
      <c r="B155" s="6">
        <f t="shared" si="10"/>
        <v>146</v>
      </c>
      <c r="C155" s="1">
        <f t="shared" si="11"/>
        <v>17269659.556192312</v>
      </c>
      <c r="D155" s="5">
        <f t="shared" si="12"/>
        <v>495685268.24993366</v>
      </c>
      <c r="E155" s="5">
        <f t="shared" si="13"/>
        <v>12190897.894745521</v>
      </c>
      <c r="F155" s="1">
        <f t="shared" si="14"/>
        <v>5078761.6614467921</v>
      </c>
    </row>
    <row r="156" spans="1:6" x14ac:dyDescent="0.25">
      <c r="A156" s="7"/>
      <c r="B156" s="6">
        <f t="shared" si="10"/>
        <v>147</v>
      </c>
      <c r="C156" s="1">
        <f t="shared" si="11"/>
        <v>17269659.556192312</v>
      </c>
      <c r="D156" s="5">
        <f t="shared" si="12"/>
        <v>483372461.37624067</v>
      </c>
      <c r="E156" s="5">
        <f t="shared" si="13"/>
        <v>12312806.873692974</v>
      </c>
      <c r="F156" s="1">
        <f t="shared" si="14"/>
        <v>4956852.682499337</v>
      </c>
    </row>
    <row r="157" spans="1:6" x14ac:dyDescent="0.25">
      <c r="A157" s="7"/>
      <c r="B157" s="6">
        <f t="shared" si="10"/>
        <v>148</v>
      </c>
      <c r="C157" s="1">
        <f t="shared" si="11"/>
        <v>17269659.556192312</v>
      </c>
      <c r="D157" s="5">
        <f t="shared" si="12"/>
        <v>470936526.43381077</v>
      </c>
      <c r="E157" s="5">
        <f t="shared" si="13"/>
        <v>12435934.942429906</v>
      </c>
      <c r="F157" s="1">
        <f t="shared" si="14"/>
        <v>4833724.6137624066</v>
      </c>
    </row>
    <row r="158" spans="1:6" x14ac:dyDescent="0.25">
      <c r="A158" s="7"/>
      <c r="B158" s="6">
        <f t="shared" si="10"/>
        <v>149</v>
      </c>
      <c r="C158" s="1">
        <f t="shared" si="11"/>
        <v>17269659.556192312</v>
      </c>
      <c r="D158" s="5">
        <f t="shared" si="12"/>
        <v>458376232.14195657</v>
      </c>
      <c r="E158" s="5">
        <f t="shared" si="13"/>
        <v>12560294.291854205</v>
      </c>
      <c r="F158" s="1">
        <f t="shared" si="14"/>
        <v>4709365.2643381078</v>
      </c>
    </row>
    <row r="159" spans="1:6" x14ac:dyDescent="0.25">
      <c r="A159" s="7"/>
      <c r="B159" s="6">
        <f t="shared" si="10"/>
        <v>150</v>
      </c>
      <c r="C159" s="1">
        <f t="shared" si="11"/>
        <v>17269659.556192312</v>
      </c>
      <c r="D159" s="5">
        <f t="shared" si="12"/>
        <v>445690334.90718383</v>
      </c>
      <c r="E159" s="5">
        <f t="shared" si="13"/>
        <v>12685897.234772746</v>
      </c>
      <c r="F159" s="1">
        <f t="shared" si="14"/>
        <v>4583762.3214195659</v>
      </c>
    </row>
    <row r="160" spans="1:6" x14ac:dyDescent="0.25">
      <c r="A160" s="7"/>
      <c r="B160" s="6">
        <f t="shared" si="10"/>
        <v>151</v>
      </c>
      <c r="C160" s="1">
        <f t="shared" si="11"/>
        <v>17269659.556192312</v>
      </c>
      <c r="D160" s="5">
        <f t="shared" si="12"/>
        <v>432877578.70006335</v>
      </c>
      <c r="E160" s="5">
        <f t="shared" si="13"/>
        <v>12812756.207120474</v>
      </c>
      <c r="F160" s="1">
        <f t="shared" si="14"/>
        <v>4456903.349071838</v>
      </c>
    </row>
    <row r="161" spans="1:6" x14ac:dyDescent="0.25">
      <c r="A161" s="7"/>
      <c r="B161" s="6">
        <f t="shared" si="10"/>
        <v>152</v>
      </c>
      <c r="C161" s="1">
        <f t="shared" si="11"/>
        <v>17269659.556192312</v>
      </c>
      <c r="D161" s="5">
        <f t="shared" si="12"/>
        <v>419936694.93087167</v>
      </c>
      <c r="E161" s="5">
        <f t="shared" si="13"/>
        <v>12940883.769191679</v>
      </c>
      <c r="F161" s="1">
        <f t="shared" si="14"/>
        <v>4328775.7870006328</v>
      </c>
    </row>
    <row r="162" spans="1:6" x14ac:dyDescent="0.25">
      <c r="A162" s="7"/>
      <c r="B162" s="6">
        <f t="shared" si="10"/>
        <v>153</v>
      </c>
      <c r="C162" s="1">
        <f t="shared" si="11"/>
        <v>17269659.556192312</v>
      </c>
      <c r="D162" s="5">
        <f t="shared" si="12"/>
        <v>406866402.32398808</v>
      </c>
      <c r="E162" s="5">
        <f t="shared" si="13"/>
        <v>13070292.606883597</v>
      </c>
      <c r="F162" s="1">
        <f t="shared" si="14"/>
        <v>4199366.9493087167</v>
      </c>
    </row>
    <row r="163" spans="1:6" x14ac:dyDescent="0.25">
      <c r="A163" s="7"/>
      <c r="B163" s="6">
        <f t="shared" si="10"/>
        <v>154</v>
      </c>
      <c r="C163" s="1">
        <f t="shared" si="11"/>
        <v>17269659.556192312</v>
      </c>
      <c r="D163" s="5">
        <f t="shared" si="12"/>
        <v>393665406.79103565</v>
      </c>
      <c r="E163" s="5">
        <f t="shared" si="13"/>
        <v>13200995.532952432</v>
      </c>
      <c r="F163" s="1">
        <f t="shared" si="14"/>
        <v>4068664.0232398808</v>
      </c>
    </row>
    <row r="164" spans="1:6" x14ac:dyDescent="0.25">
      <c r="A164" s="7"/>
      <c r="B164" s="6">
        <f t="shared" si="10"/>
        <v>155</v>
      </c>
      <c r="C164" s="1">
        <f t="shared" si="11"/>
        <v>17269659.556192312</v>
      </c>
      <c r="D164" s="5">
        <f t="shared" si="12"/>
        <v>380332401.30275369</v>
      </c>
      <c r="E164" s="5">
        <f t="shared" si="13"/>
        <v>13333005.488281956</v>
      </c>
      <c r="F164" s="1">
        <f t="shared" si="14"/>
        <v>3936654.0679103564</v>
      </c>
    </row>
    <row r="165" spans="1:6" x14ac:dyDescent="0.25">
      <c r="A165" s="7"/>
      <c r="B165" s="6">
        <f t="shared" si="10"/>
        <v>156</v>
      </c>
      <c r="C165" s="1">
        <f t="shared" si="11"/>
        <v>17269659.556192312</v>
      </c>
      <c r="D165" s="5">
        <f t="shared" si="12"/>
        <v>366866065.7595889</v>
      </c>
      <c r="E165" s="5">
        <f t="shared" si="13"/>
        <v>13466335.543164775</v>
      </c>
      <c r="F165" s="1">
        <f t="shared" si="14"/>
        <v>3803324.0130275371</v>
      </c>
    </row>
    <row r="166" spans="1:6" x14ac:dyDescent="0.25">
      <c r="A166" s="7" t="s">
        <v>35</v>
      </c>
      <c r="B166" s="6">
        <f t="shared" si="10"/>
        <v>157</v>
      </c>
      <c r="C166" s="1">
        <f t="shared" si="11"/>
        <v>17269659.556192312</v>
      </c>
      <c r="D166" s="5">
        <f t="shared" si="12"/>
        <v>353265066.86099249</v>
      </c>
      <c r="E166" s="5">
        <f t="shared" si="13"/>
        <v>13600998.898596423</v>
      </c>
      <c r="F166" s="1">
        <f t="shared" si="14"/>
        <v>3668660.6575958892</v>
      </c>
    </row>
    <row r="167" spans="1:6" x14ac:dyDescent="0.25">
      <c r="A167" s="7"/>
      <c r="B167" s="6">
        <f t="shared" si="10"/>
        <v>158</v>
      </c>
      <c r="C167" s="1">
        <f t="shared" si="11"/>
        <v>17269659.556192312</v>
      </c>
      <c r="D167" s="5">
        <f t="shared" si="12"/>
        <v>339528057.97341013</v>
      </c>
      <c r="E167" s="5">
        <f t="shared" si="13"/>
        <v>13737008.887582388</v>
      </c>
      <c r="F167" s="1">
        <f t="shared" si="14"/>
        <v>3532650.6686099246</v>
      </c>
    </row>
    <row r="168" spans="1:6" x14ac:dyDescent="0.25">
      <c r="A168" s="7"/>
      <c r="B168" s="6">
        <f t="shared" si="10"/>
        <v>159</v>
      </c>
      <c r="C168" s="1">
        <f t="shared" si="11"/>
        <v>17269659.556192312</v>
      </c>
      <c r="D168" s="5">
        <f t="shared" si="12"/>
        <v>325653678.99695194</v>
      </c>
      <c r="E168" s="5">
        <f t="shared" si="13"/>
        <v>13874378.97645821</v>
      </c>
      <c r="F168" s="1">
        <f t="shared" si="14"/>
        <v>3395280.5797341014</v>
      </c>
    </row>
    <row r="169" spans="1:6" x14ac:dyDescent="0.25">
      <c r="A169" s="7"/>
      <c r="B169" s="6">
        <f t="shared" si="10"/>
        <v>160</v>
      </c>
      <c r="C169" s="1">
        <f t="shared" si="11"/>
        <v>17269659.556192312</v>
      </c>
      <c r="D169" s="5">
        <f t="shared" si="12"/>
        <v>311640556.23072916</v>
      </c>
      <c r="E169" s="5">
        <f t="shared" si="13"/>
        <v>14013122.766222794</v>
      </c>
      <c r="F169" s="1">
        <f t="shared" si="14"/>
        <v>3256536.7899695192</v>
      </c>
    </row>
    <row r="170" spans="1:6" x14ac:dyDescent="0.25">
      <c r="A170" s="7"/>
      <c r="B170" s="6">
        <f t="shared" si="10"/>
        <v>161</v>
      </c>
      <c r="C170" s="1">
        <f t="shared" si="11"/>
        <v>17269659.556192312</v>
      </c>
      <c r="D170" s="5">
        <f t="shared" si="12"/>
        <v>297487302.23684412</v>
      </c>
      <c r="E170" s="5">
        <f t="shared" si="13"/>
        <v>14153253.993885022</v>
      </c>
      <c r="F170" s="1">
        <f t="shared" si="14"/>
        <v>3116405.5623072912</v>
      </c>
    </row>
    <row r="171" spans="1:6" x14ac:dyDescent="0.25">
      <c r="A171" s="7"/>
      <c r="B171" s="6">
        <f t="shared" si="10"/>
        <v>162</v>
      </c>
      <c r="C171" s="1">
        <f t="shared" si="11"/>
        <v>17269659.556192312</v>
      </c>
      <c r="D171" s="5">
        <f t="shared" si="12"/>
        <v>283192515.70302027</v>
      </c>
      <c r="E171" s="5">
        <f t="shared" si="13"/>
        <v>14294786.533823872</v>
      </c>
      <c r="F171" s="1">
        <f t="shared" si="14"/>
        <v>2974873.0223684409</v>
      </c>
    </row>
    <row r="172" spans="1:6" x14ac:dyDescent="0.25">
      <c r="A172" s="7"/>
      <c r="B172" s="6">
        <f t="shared" si="10"/>
        <v>163</v>
      </c>
      <c r="C172" s="1">
        <f t="shared" si="11"/>
        <v>17269659.556192312</v>
      </c>
      <c r="D172" s="5">
        <f t="shared" si="12"/>
        <v>268754781.30385816</v>
      </c>
      <c r="E172" s="5">
        <f t="shared" si="13"/>
        <v>14437734.39916211</v>
      </c>
      <c r="F172" s="1">
        <f t="shared" si="14"/>
        <v>2831925.1570302024</v>
      </c>
    </row>
    <row r="173" spans="1:6" x14ac:dyDescent="0.25">
      <c r="A173" s="7"/>
      <c r="B173" s="6">
        <f t="shared" si="10"/>
        <v>164</v>
      </c>
      <c r="C173" s="1">
        <f t="shared" si="11"/>
        <v>17269659.556192312</v>
      </c>
      <c r="D173" s="5">
        <f t="shared" si="12"/>
        <v>254172669.56070444</v>
      </c>
      <c r="E173" s="5">
        <f t="shared" si="13"/>
        <v>14582111.74315373</v>
      </c>
      <c r="F173" s="1">
        <f t="shared" si="14"/>
        <v>2687547.8130385815</v>
      </c>
    </row>
    <row r="174" spans="1:6" x14ac:dyDescent="0.25">
      <c r="A174" s="7"/>
      <c r="B174" s="6">
        <f t="shared" si="10"/>
        <v>165</v>
      </c>
      <c r="C174" s="1">
        <f t="shared" si="11"/>
        <v>17269659.556192312</v>
      </c>
      <c r="D174" s="5">
        <f t="shared" si="12"/>
        <v>239444736.70011917</v>
      </c>
      <c r="E174" s="5">
        <f t="shared" si="13"/>
        <v>14727932.860585269</v>
      </c>
      <c r="F174" s="1">
        <f t="shared" si="14"/>
        <v>2541726.6956070443</v>
      </c>
    </row>
    <row r="175" spans="1:6" x14ac:dyDescent="0.25">
      <c r="A175" s="7"/>
      <c r="B175" s="6">
        <f t="shared" si="10"/>
        <v>166</v>
      </c>
      <c r="C175" s="1">
        <f t="shared" si="11"/>
        <v>17269659.556192312</v>
      </c>
      <c r="D175" s="5">
        <f t="shared" si="12"/>
        <v>224569524.51092803</v>
      </c>
      <c r="E175" s="5">
        <f t="shared" si="13"/>
        <v>14875212.189191122</v>
      </c>
      <c r="F175" s="1">
        <f t="shared" si="14"/>
        <v>2394447.3670011917</v>
      </c>
    </row>
    <row r="176" spans="1:6" x14ac:dyDescent="0.25">
      <c r="A176" s="7"/>
      <c r="B176" s="6">
        <f t="shared" si="10"/>
        <v>167</v>
      </c>
      <c r="C176" s="1">
        <f t="shared" si="11"/>
        <v>17269659.556192312</v>
      </c>
      <c r="D176" s="5">
        <f t="shared" si="12"/>
        <v>209545560.19984502</v>
      </c>
      <c r="E176" s="5">
        <f t="shared" si="13"/>
        <v>15023964.311083032</v>
      </c>
      <c r="F176" s="1">
        <f t="shared" si="14"/>
        <v>2245695.2451092801</v>
      </c>
    </row>
    <row r="177" spans="1:6" x14ac:dyDescent="0.25">
      <c r="A177" s="7"/>
      <c r="B177" s="6">
        <f t="shared" si="10"/>
        <v>168</v>
      </c>
      <c r="C177" s="1">
        <f t="shared" si="11"/>
        <v>17269659.556192312</v>
      </c>
      <c r="D177" s="5">
        <f t="shared" si="12"/>
        <v>194371356.24565116</v>
      </c>
      <c r="E177" s="5">
        <f t="shared" si="13"/>
        <v>15174203.954193862</v>
      </c>
      <c r="F177" s="1">
        <f t="shared" si="14"/>
        <v>2095455.6019984502</v>
      </c>
    </row>
    <row r="178" spans="1:6" x14ac:dyDescent="0.25">
      <c r="A178" s="7" t="s">
        <v>36</v>
      </c>
      <c r="B178" s="6">
        <f t="shared" si="10"/>
        <v>169</v>
      </c>
      <c r="C178" s="1">
        <f t="shared" si="11"/>
        <v>17269659.556192312</v>
      </c>
      <c r="D178" s="5">
        <f t="shared" si="12"/>
        <v>179045410.25191537</v>
      </c>
      <c r="E178" s="5">
        <f t="shared" si="13"/>
        <v>15325945.993735801</v>
      </c>
      <c r="F178" s="1">
        <f t="shared" si="14"/>
        <v>1943713.5624565117</v>
      </c>
    </row>
    <row r="179" spans="1:6" x14ac:dyDescent="0.25">
      <c r="A179" s="7"/>
      <c r="B179" s="6">
        <f t="shared" si="10"/>
        <v>170</v>
      </c>
      <c r="C179" s="1">
        <f t="shared" si="11"/>
        <v>17269659.556192312</v>
      </c>
      <c r="D179" s="5">
        <f t="shared" si="12"/>
        <v>163566204.79824221</v>
      </c>
      <c r="E179" s="5">
        <f t="shared" si="13"/>
        <v>15479205.453673158</v>
      </c>
      <c r="F179" s="1">
        <f t="shared" si="14"/>
        <v>1790454.1025191536</v>
      </c>
    </row>
    <row r="180" spans="1:6" x14ac:dyDescent="0.25">
      <c r="A180" s="7"/>
      <c r="B180" s="6">
        <f t="shared" si="10"/>
        <v>171</v>
      </c>
      <c r="C180" s="1">
        <f t="shared" si="11"/>
        <v>17269659.556192312</v>
      </c>
      <c r="D180" s="5">
        <f t="shared" si="12"/>
        <v>147932207.29003233</v>
      </c>
      <c r="E180" s="5">
        <f t="shared" si="13"/>
        <v>15633997.50820989</v>
      </c>
      <c r="F180" s="1">
        <f t="shared" si="14"/>
        <v>1635662.0479824219</v>
      </c>
    </row>
    <row r="181" spans="1:6" x14ac:dyDescent="0.25">
      <c r="A181" s="7"/>
      <c r="B181" s="6">
        <f t="shared" si="10"/>
        <v>172</v>
      </c>
      <c r="C181" s="1">
        <f t="shared" si="11"/>
        <v>17269659.556192312</v>
      </c>
      <c r="D181" s="5">
        <f t="shared" si="12"/>
        <v>132141869.80674034</v>
      </c>
      <c r="E181" s="5">
        <f t="shared" si="13"/>
        <v>15790337.483291989</v>
      </c>
      <c r="F181" s="1">
        <f t="shared" si="14"/>
        <v>1479322.0729003232</v>
      </c>
    </row>
    <row r="182" spans="1:6" x14ac:dyDescent="0.25">
      <c r="A182" s="7"/>
      <c r="B182" s="6">
        <f t="shared" si="10"/>
        <v>173</v>
      </c>
      <c r="C182" s="1">
        <f t="shared" si="11"/>
        <v>17269659.556192312</v>
      </c>
      <c r="D182" s="5">
        <f t="shared" si="12"/>
        <v>116193628.94861543</v>
      </c>
      <c r="E182" s="5">
        <f t="shared" si="13"/>
        <v>15948240.858124908</v>
      </c>
      <c r="F182" s="1">
        <f t="shared" si="14"/>
        <v>1321418.6980674034</v>
      </c>
    </row>
    <row r="183" spans="1:6" x14ac:dyDescent="0.25">
      <c r="A183" s="7"/>
      <c r="B183" s="6">
        <f t="shared" si="10"/>
        <v>174</v>
      </c>
      <c r="C183" s="1">
        <f t="shared" si="11"/>
        <v>17269659.556192312</v>
      </c>
      <c r="D183" s="5">
        <f t="shared" si="12"/>
        <v>100085905.68190928</v>
      </c>
      <c r="E183" s="5">
        <f t="shared" si="13"/>
        <v>16107723.266706157</v>
      </c>
      <c r="F183" s="1">
        <f t="shared" si="14"/>
        <v>1161936.2894861542</v>
      </c>
    </row>
    <row r="184" spans="1:6" x14ac:dyDescent="0.25">
      <c r="A184" s="7"/>
      <c r="B184" s="6">
        <f t="shared" si="10"/>
        <v>175</v>
      </c>
      <c r="C184" s="1">
        <f t="shared" si="11"/>
        <v>17269659.556192312</v>
      </c>
      <c r="D184" s="5">
        <f t="shared" si="12"/>
        <v>83817105.182536066</v>
      </c>
      <c r="E184" s="5">
        <f t="shared" si="13"/>
        <v>16268800.49937322</v>
      </c>
      <c r="F184" s="1">
        <f t="shared" si="14"/>
        <v>1000859.0568190928</v>
      </c>
    </row>
    <row r="185" spans="1:6" x14ac:dyDescent="0.25">
      <c r="A185" s="7"/>
      <c r="B185" s="6">
        <f t="shared" si="10"/>
        <v>176</v>
      </c>
      <c r="C185" s="1">
        <f t="shared" si="11"/>
        <v>17269659.556192312</v>
      </c>
      <c r="D185" s="5">
        <f t="shared" si="12"/>
        <v>67385616.678169116</v>
      </c>
      <c r="E185" s="5">
        <f t="shared" si="13"/>
        <v>16431488.504366951</v>
      </c>
      <c r="F185" s="1">
        <f t="shared" si="14"/>
        <v>838171.05182536051</v>
      </c>
    </row>
    <row r="186" spans="1:6" x14ac:dyDescent="0.25">
      <c r="A186" s="7"/>
      <c r="B186" s="6">
        <f t="shared" si="10"/>
        <v>177</v>
      </c>
      <c r="C186" s="1">
        <f t="shared" si="11"/>
        <v>17269659.556192312</v>
      </c>
      <c r="D186" s="5">
        <f t="shared" si="12"/>
        <v>50789813.288758494</v>
      </c>
      <c r="E186" s="5">
        <f t="shared" si="13"/>
        <v>16595803.389410621</v>
      </c>
      <c r="F186" s="1">
        <f t="shared" si="14"/>
        <v>673856.16678169114</v>
      </c>
    </row>
    <row r="187" spans="1:6" x14ac:dyDescent="0.25">
      <c r="A187" s="7"/>
      <c r="B187" s="6">
        <f t="shared" si="10"/>
        <v>178</v>
      </c>
      <c r="C187" s="1">
        <f t="shared" si="11"/>
        <v>17269659.556192312</v>
      </c>
      <c r="D187" s="5">
        <f t="shared" si="12"/>
        <v>34028051.865453765</v>
      </c>
      <c r="E187" s="5">
        <f t="shared" si="13"/>
        <v>16761761.423304727</v>
      </c>
      <c r="F187" s="1">
        <f t="shared" si="14"/>
        <v>507898.13288758491</v>
      </c>
    </row>
    <row r="188" spans="1:6" x14ac:dyDescent="0.25">
      <c r="A188" s="7"/>
      <c r="B188" s="6">
        <f t="shared" si="10"/>
        <v>179</v>
      </c>
      <c r="C188" s="1">
        <f t="shared" si="11"/>
        <v>17269659.556192312</v>
      </c>
      <c r="D188" s="5">
        <f t="shared" si="12"/>
        <v>17098672.827915989</v>
      </c>
      <c r="E188" s="5">
        <f t="shared" si="13"/>
        <v>16929379.037537776</v>
      </c>
      <c r="F188" s="1">
        <f t="shared" si="14"/>
        <v>340280.51865453762</v>
      </c>
    </row>
    <row r="189" spans="1:6" x14ac:dyDescent="0.25">
      <c r="A189" s="7"/>
      <c r="B189" s="6">
        <f t="shared" si="10"/>
        <v>180</v>
      </c>
      <c r="C189" s="1">
        <f t="shared" si="11"/>
        <v>17269659.556192312</v>
      </c>
      <c r="D189" s="5">
        <f t="shared" si="12"/>
        <v>2.8349459171295166E-6</v>
      </c>
      <c r="E189" s="5">
        <f t="shared" si="13"/>
        <v>17098672.827913154</v>
      </c>
      <c r="F189" s="1">
        <f t="shared" si="14"/>
        <v>170986.7282791599</v>
      </c>
    </row>
  </sheetData>
  <mergeCells count="15">
    <mergeCell ref="A154:A165"/>
    <mergeCell ref="A166:A177"/>
    <mergeCell ref="A178:A189"/>
    <mergeCell ref="A82:A93"/>
    <mergeCell ref="A94:A105"/>
    <mergeCell ref="A106:A117"/>
    <mergeCell ref="A118:A129"/>
    <mergeCell ref="A130:A141"/>
    <mergeCell ref="A142:A153"/>
    <mergeCell ref="A9:A21"/>
    <mergeCell ref="A22:A33"/>
    <mergeCell ref="A34:A45"/>
    <mergeCell ref="A46:A57"/>
    <mergeCell ref="A58:A69"/>
    <mergeCell ref="A70:A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Simulasi Tanpa Take Over</vt:lpstr>
      <vt:lpstr>Simulasi Take Over</vt:lpstr>
      <vt:lpstr>KPR 1</vt:lpstr>
      <vt:lpstr>KPR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2026-07-24T07:48:37Z</dcterms:created>
  <dcterms:modified xsi:type="dcterms:W3CDTF">2026-07-24T08:53:56Z</dcterms:modified>
</cp:coreProperties>
</file>